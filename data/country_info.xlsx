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c06f6d5ee70c74/Documents/GitHub/GeographyHub/data/"/>
    </mc:Choice>
  </mc:AlternateContent>
  <xr:revisionPtr revIDLastSave="121" documentId="13_ncr:1_{D18E3ADC-CB07-430D-B2F8-8A6183F60C92}" xr6:coauthVersionLast="47" xr6:coauthVersionMax="47" xr10:uidLastSave="{C52B837D-3649-493C-8F66-F82794DEFE2F}"/>
  <bookViews>
    <workbookView xWindow="-120" yWindow="-120" windowWidth="29040" windowHeight="15720" xr2:uid="{D1E89A25-F84D-4BC3-BBD1-CB648844F7CE}"/>
  </bookViews>
  <sheets>
    <sheet name="country_en" sheetId="2" r:id="rId1"/>
    <sheet name="country_ru" sheetId="5" r:id="rId2"/>
    <sheet name="Sheet1" sheetId="3" r:id="rId3"/>
    <sheet name="Sheet2" sheetId="4" r:id="rId4"/>
  </sheets>
  <definedNames>
    <definedName name="_xlnm._FilterDatabase" localSheetId="0" hidden="1">country_en!$A$1:$J$230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3" i="5" l="1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2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3" i="2"/>
  <c r="G93" i="2"/>
  <c r="G94" i="2"/>
  <c r="G95" i="2"/>
  <c r="G96" i="2"/>
  <c r="G97" i="2"/>
  <c r="G98" i="2"/>
  <c r="G99" i="2"/>
  <c r="G100" i="2"/>
  <c r="G101" i="2"/>
  <c r="G102" i="2"/>
  <c r="G103" i="2"/>
  <c r="G104" i="2"/>
  <c r="G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2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3" i="2"/>
  <c r="J93" i="2"/>
  <c r="J94" i="2"/>
  <c r="J95" i="2"/>
  <c r="J96" i="2"/>
  <c r="J97" i="2"/>
  <c r="J98" i="2"/>
  <c r="J99" i="2"/>
  <c r="J100" i="2"/>
  <c r="J101" i="2"/>
  <c r="J102" i="2"/>
  <c r="J103" i="2"/>
  <c r="J104" i="2"/>
  <c r="J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5" i="2"/>
</calcChain>
</file>

<file path=xl/sharedStrings.xml><?xml version="1.0" encoding="utf-8"?>
<sst xmlns="http://schemas.openxmlformats.org/spreadsheetml/2006/main" count="4335" uniqueCount="1664">
  <si>
    <t>country_code</t>
  </si>
  <si>
    <t>capital</t>
  </si>
  <si>
    <t>total_area</t>
  </si>
  <si>
    <t>AD</t>
  </si>
  <si>
    <t>Andorra la Vella</t>
  </si>
  <si>
    <t>AE</t>
  </si>
  <si>
    <t>Abu Dhabi</t>
  </si>
  <si>
    <t>AF</t>
  </si>
  <si>
    <t>Kabul</t>
  </si>
  <si>
    <t>AG</t>
  </si>
  <si>
    <t>Saint John's</t>
  </si>
  <si>
    <t>AI</t>
  </si>
  <si>
    <t>The Valley</t>
  </si>
  <si>
    <t>AL</t>
  </si>
  <si>
    <t>Tirana</t>
  </si>
  <si>
    <t>AM</t>
  </si>
  <si>
    <t>Yerevan</t>
  </si>
  <si>
    <t>AO</t>
  </si>
  <si>
    <t>Luanda</t>
  </si>
  <si>
    <t>AR</t>
  </si>
  <si>
    <t>Buenos Aires</t>
  </si>
  <si>
    <t>AS</t>
  </si>
  <si>
    <t>Pago Pago</t>
  </si>
  <si>
    <t>AT</t>
  </si>
  <si>
    <t>Vienna</t>
  </si>
  <si>
    <t>AU</t>
  </si>
  <si>
    <t>Canberra</t>
  </si>
  <si>
    <t>AW</t>
  </si>
  <si>
    <t>Oranjestad</t>
  </si>
  <si>
    <t>AZ</t>
  </si>
  <si>
    <t>Baku</t>
  </si>
  <si>
    <t>BA</t>
  </si>
  <si>
    <t>Sarajevo</t>
  </si>
  <si>
    <t>BB</t>
  </si>
  <si>
    <t>Bridgetown</t>
  </si>
  <si>
    <t>BD</t>
  </si>
  <si>
    <t>Dhaka</t>
  </si>
  <si>
    <t>BE</t>
  </si>
  <si>
    <t>Brussels</t>
  </si>
  <si>
    <t>BF</t>
  </si>
  <si>
    <t>Ouagadougou</t>
  </si>
  <si>
    <t>BG</t>
  </si>
  <si>
    <t>Sofia</t>
  </si>
  <si>
    <t>BH</t>
  </si>
  <si>
    <t>Manama</t>
  </si>
  <si>
    <t>BI</t>
  </si>
  <si>
    <t>BJ</t>
  </si>
  <si>
    <t>BL</t>
  </si>
  <si>
    <t>Gustavia</t>
  </si>
  <si>
    <t>BM</t>
  </si>
  <si>
    <t>Hamilton</t>
  </si>
  <si>
    <t>BN</t>
  </si>
  <si>
    <t>Bandar Seri Begawan</t>
  </si>
  <si>
    <t>BO</t>
  </si>
  <si>
    <t>Sucre</t>
  </si>
  <si>
    <t>BR</t>
  </si>
  <si>
    <t>Brasilia</t>
  </si>
  <si>
    <t>BS</t>
  </si>
  <si>
    <t>Nassau</t>
  </si>
  <si>
    <t>BT</t>
  </si>
  <si>
    <t>Thimphu</t>
  </si>
  <si>
    <t>BW</t>
  </si>
  <si>
    <t>Gaborone</t>
  </si>
  <si>
    <t>BY</t>
  </si>
  <si>
    <t>Minsk</t>
  </si>
  <si>
    <t>BZ</t>
  </si>
  <si>
    <t>Belmopan</t>
  </si>
  <si>
    <t>CA</t>
  </si>
  <si>
    <t>Ottawa</t>
  </si>
  <si>
    <t>CC</t>
  </si>
  <si>
    <t>West Island</t>
  </si>
  <si>
    <t>CD</t>
  </si>
  <si>
    <t>Kinshasa</t>
  </si>
  <si>
    <t>CF</t>
  </si>
  <si>
    <t>Bangui</t>
  </si>
  <si>
    <t>CG</t>
  </si>
  <si>
    <t>Brazzaville</t>
  </si>
  <si>
    <t>CH</t>
  </si>
  <si>
    <t>Bern</t>
  </si>
  <si>
    <t>CI</t>
  </si>
  <si>
    <t>Yamoussoukro</t>
  </si>
  <si>
    <t>CK</t>
  </si>
  <si>
    <t>Avarua</t>
  </si>
  <si>
    <t>CL</t>
  </si>
  <si>
    <t>Santiago</t>
  </si>
  <si>
    <t>CM</t>
  </si>
  <si>
    <t>Yaounde</t>
  </si>
  <si>
    <t>CN</t>
  </si>
  <si>
    <t>Beijing</t>
  </si>
  <si>
    <t>CO</t>
  </si>
  <si>
    <t>Bogota</t>
  </si>
  <si>
    <t>CR</t>
  </si>
  <si>
    <t>San Jose</t>
  </si>
  <si>
    <t>CU</t>
  </si>
  <si>
    <t>Havana</t>
  </si>
  <si>
    <t>CV</t>
  </si>
  <si>
    <t>Praia</t>
  </si>
  <si>
    <t>CW</t>
  </si>
  <si>
    <t>Willemstad</t>
  </si>
  <si>
    <t>CX</t>
  </si>
  <si>
    <t>Flying Fish Cove</t>
  </si>
  <si>
    <t>CY</t>
  </si>
  <si>
    <t>Nicosia</t>
  </si>
  <si>
    <t>CZ</t>
  </si>
  <si>
    <t>Prague</t>
  </si>
  <si>
    <t>DE</t>
  </si>
  <si>
    <t>Berlin</t>
  </si>
  <si>
    <t>DJ</t>
  </si>
  <si>
    <t>Djibouti</t>
  </si>
  <si>
    <t>DK</t>
  </si>
  <si>
    <t>Copenhagen</t>
  </si>
  <si>
    <t>DM</t>
  </si>
  <si>
    <t>Roseau</t>
  </si>
  <si>
    <t>DO</t>
  </si>
  <si>
    <t>Santo Domingo</t>
  </si>
  <si>
    <t>DZ</t>
  </si>
  <si>
    <t>Algiers</t>
  </si>
  <si>
    <t>EC</t>
  </si>
  <si>
    <t>Quito</t>
  </si>
  <si>
    <t>EE</t>
  </si>
  <si>
    <t>Tallinn</t>
  </si>
  <si>
    <t>EG</t>
  </si>
  <si>
    <t>Cairo</t>
  </si>
  <si>
    <t>ER</t>
  </si>
  <si>
    <t>Asmara</t>
  </si>
  <si>
    <t>ES</t>
  </si>
  <si>
    <t>Madrid</t>
  </si>
  <si>
    <t>ET</t>
  </si>
  <si>
    <t>Addis Ababa</t>
  </si>
  <si>
    <t>FI</t>
  </si>
  <si>
    <t>Helsinki</t>
  </si>
  <si>
    <t>FJ</t>
  </si>
  <si>
    <t>Suva</t>
  </si>
  <si>
    <t>FK</t>
  </si>
  <si>
    <t>Stanley</t>
  </si>
  <si>
    <t>FM</t>
  </si>
  <si>
    <t>Palikir</t>
  </si>
  <si>
    <t>FO</t>
  </si>
  <si>
    <t>Torshavn</t>
  </si>
  <si>
    <t>FR</t>
  </si>
  <si>
    <t>Paris</t>
  </si>
  <si>
    <t>GA</t>
  </si>
  <si>
    <t>Libreville</t>
  </si>
  <si>
    <t>GB</t>
  </si>
  <si>
    <t>London</t>
  </si>
  <si>
    <t>GD</t>
  </si>
  <si>
    <t>Saint George's</t>
  </si>
  <si>
    <t>GE</t>
  </si>
  <si>
    <t>Tbilisi</t>
  </si>
  <si>
    <t>GF</t>
  </si>
  <si>
    <t>Cayenne</t>
  </si>
  <si>
    <t>GG</t>
  </si>
  <si>
    <t>Saint Peter Port</t>
  </si>
  <si>
    <t>GH</t>
  </si>
  <si>
    <t>Accra</t>
  </si>
  <si>
    <t>GI</t>
  </si>
  <si>
    <t>Gibraltar</t>
  </si>
  <si>
    <t>GL</t>
  </si>
  <si>
    <t>Nuuk</t>
  </si>
  <si>
    <t>GM</t>
  </si>
  <si>
    <t>Banjul</t>
  </si>
  <si>
    <t>GN</t>
  </si>
  <si>
    <t>Conakry</t>
  </si>
  <si>
    <t>GQ</t>
  </si>
  <si>
    <t>Malabo</t>
  </si>
  <si>
    <t>GR</t>
  </si>
  <si>
    <t>Athens</t>
  </si>
  <si>
    <t>GS</t>
  </si>
  <si>
    <t>Grytviken</t>
  </si>
  <si>
    <t>GT</t>
  </si>
  <si>
    <t>Guatemala City</t>
  </si>
  <si>
    <t>GU</t>
  </si>
  <si>
    <t>Hagatna</t>
  </si>
  <si>
    <t>GW</t>
  </si>
  <si>
    <t>Bissau</t>
  </si>
  <si>
    <t>GY</t>
  </si>
  <si>
    <t>Georgetown</t>
  </si>
  <si>
    <t>HN</t>
  </si>
  <si>
    <t>Tegucigalpa</t>
  </si>
  <si>
    <t>HR</t>
  </si>
  <si>
    <t>Zagreb</t>
  </si>
  <si>
    <t>HT</t>
  </si>
  <si>
    <t>HU</t>
  </si>
  <si>
    <t>Budapest</t>
  </si>
  <si>
    <t>ID</t>
  </si>
  <si>
    <t>Jakarta</t>
  </si>
  <si>
    <t>IE</t>
  </si>
  <si>
    <t>Dublin</t>
  </si>
  <si>
    <t>IL</t>
  </si>
  <si>
    <t>Jerusalem</t>
  </si>
  <si>
    <t>IM</t>
  </si>
  <si>
    <t>Douglas</t>
  </si>
  <si>
    <t>IN</t>
  </si>
  <si>
    <t>New Delhi</t>
  </si>
  <si>
    <t>IQ</t>
  </si>
  <si>
    <t>Baghdad</t>
  </si>
  <si>
    <t>IR</t>
  </si>
  <si>
    <t>Tehran</t>
  </si>
  <si>
    <t>IS</t>
  </si>
  <si>
    <t>Reykjavik</t>
  </si>
  <si>
    <t>IT</t>
  </si>
  <si>
    <t>JE</t>
  </si>
  <si>
    <t>Saint Helier</t>
  </si>
  <si>
    <t>JM</t>
  </si>
  <si>
    <t>Kingston</t>
  </si>
  <si>
    <t>JO</t>
  </si>
  <si>
    <t>Amman</t>
  </si>
  <si>
    <t>JP</t>
  </si>
  <si>
    <t>Tokyo</t>
  </si>
  <si>
    <t>KE</t>
  </si>
  <si>
    <t>Nairobi</t>
  </si>
  <si>
    <t>KG</t>
  </si>
  <si>
    <t>Bishkek</t>
  </si>
  <si>
    <t>KH</t>
  </si>
  <si>
    <t>Phnom Penh</t>
  </si>
  <si>
    <t>KI</t>
  </si>
  <si>
    <t>Tarawa</t>
  </si>
  <si>
    <t>KM</t>
  </si>
  <si>
    <t>Moroni</t>
  </si>
  <si>
    <t>KN</t>
  </si>
  <si>
    <t>Basseterre</t>
  </si>
  <si>
    <t>KP</t>
  </si>
  <si>
    <t>Pyongyang</t>
  </si>
  <si>
    <t>KR</t>
  </si>
  <si>
    <t>Seoul</t>
  </si>
  <si>
    <t>KW</t>
  </si>
  <si>
    <t>Kuwait</t>
  </si>
  <si>
    <t>KY</t>
  </si>
  <si>
    <t>George Town</t>
  </si>
  <si>
    <t>KZ</t>
  </si>
  <si>
    <t>Astana</t>
  </si>
  <si>
    <t>LA</t>
  </si>
  <si>
    <t>Vientiane</t>
  </si>
  <si>
    <t>LB</t>
  </si>
  <si>
    <t>Beirut</t>
  </si>
  <si>
    <t>LC</t>
  </si>
  <si>
    <t>Castries</t>
  </si>
  <si>
    <t>LI</t>
  </si>
  <si>
    <t>Vaduz</t>
  </si>
  <si>
    <t>LK</t>
  </si>
  <si>
    <t>LR</t>
  </si>
  <si>
    <t>Monrovia</t>
  </si>
  <si>
    <t>LS</t>
  </si>
  <si>
    <t>Maseru</t>
  </si>
  <si>
    <t>LT</t>
  </si>
  <si>
    <t>Vilnius</t>
  </si>
  <si>
    <t>LU</t>
  </si>
  <si>
    <t>Luxembourg</t>
  </si>
  <si>
    <t>LV</t>
  </si>
  <si>
    <t>Riga</t>
  </si>
  <si>
    <t>LY</t>
  </si>
  <si>
    <t>Tripoli</t>
  </si>
  <si>
    <t>MA</t>
  </si>
  <si>
    <t>Rabat</t>
  </si>
  <si>
    <t>MC</t>
  </si>
  <si>
    <t>Monaco</t>
  </si>
  <si>
    <t>MD</t>
  </si>
  <si>
    <t>Chisinau</t>
  </si>
  <si>
    <t>ME</t>
  </si>
  <si>
    <t>Podgorica</t>
  </si>
  <si>
    <t>MF</t>
  </si>
  <si>
    <t>Marigot</t>
  </si>
  <si>
    <t>MG</t>
  </si>
  <si>
    <t>Antananarivo</t>
  </si>
  <si>
    <t>MH</t>
  </si>
  <si>
    <t>Majuro</t>
  </si>
  <si>
    <t>MK</t>
  </si>
  <si>
    <t>Skopje</t>
  </si>
  <si>
    <t>ML</t>
  </si>
  <si>
    <t>Bamako</t>
  </si>
  <si>
    <t>MM</t>
  </si>
  <si>
    <t>MN</t>
  </si>
  <si>
    <t>Ulaanbaatar</t>
  </si>
  <si>
    <t>MP</t>
  </si>
  <si>
    <t>Saipan</t>
  </si>
  <si>
    <t>MR</t>
  </si>
  <si>
    <t>Nouakchott</t>
  </si>
  <si>
    <t>MS</t>
  </si>
  <si>
    <t>Plymouth</t>
  </si>
  <si>
    <t>MT</t>
  </si>
  <si>
    <t>Valletta</t>
  </si>
  <si>
    <t>MU</t>
  </si>
  <si>
    <t>Port Louis</t>
  </si>
  <si>
    <t>MV</t>
  </si>
  <si>
    <t>Male</t>
  </si>
  <si>
    <t>MW</t>
  </si>
  <si>
    <t>Lilongwe</t>
  </si>
  <si>
    <t>MX</t>
  </si>
  <si>
    <t>Mexico City</t>
  </si>
  <si>
    <t>MY</t>
  </si>
  <si>
    <t>Kuala Lumpur</t>
  </si>
  <si>
    <t>MZ</t>
  </si>
  <si>
    <t>Maputo</t>
  </si>
  <si>
    <t>NA</t>
  </si>
  <si>
    <t>Windhoek</t>
  </si>
  <si>
    <t>NC</t>
  </si>
  <si>
    <t>Noumea</t>
  </si>
  <si>
    <t>NE</t>
  </si>
  <si>
    <t>Niamey</t>
  </si>
  <si>
    <t>NG</t>
  </si>
  <si>
    <t>Abuja</t>
  </si>
  <si>
    <t>NI</t>
  </si>
  <si>
    <t>Managua</t>
  </si>
  <si>
    <t>NL</t>
  </si>
  <si>
    <t>Amsterdam</t>
  </si>
  <si>
    <t>NO</t>
  </si>
  <si>
    <t>Oslo</t>
  </si>
  <si>
    <t>NP</t>
  </si>
  <si>
    <t>Kathmandu</t>
  </si>
  <si>
    <t>NR</t>
  </si>
  <si>
    <t>Yaren</t>
  </si>
  <si>
    <t>NU</t>
  </si>
  <si>
    <t>Alofi</t>
  </si>
  <si>
    <t>NZ</t>
  </si>
  <si>
    <t>Wellington</t>
  </si>
  <si>
    <t>OM</t>
  </si>
  <si>
    <t>Muscat</t>
  </si>
  <si>
    <t>PA</t>
  </si>
  <si>
    <t>Panama</t>
  </si>
  <si>
    <t>PE</t>
  </si>
  <si>
    <t>Lima</t>
  </si>
  <si>
    <t>PF</t>
  </si>
  <si>
    <t>Papeete</t>
  </si>
  <si>
    <t>PG</t>
  </si>
  <si>
    <t>Port Moresby</t>
  </si>
  <si>
    <t>PH</t>
  </si>
  <si>
    <t>Manila</t>
  </si>
  <si>
    <t>PK</t>
  </si>
  <si>
    <t>Islamabad</t>
  </si>
  <si>
    <t>PL</t>
  </si>
  <si>
    <t>Warsaw</t>
  </si>
  <si>
    <t>PN</t>
  </si>
  <si>
    <t>Adamstown</t>
  </si>
  <si>
    <t>PR</t>
  </si>
  <si>
    <t>San Juan</t>
  </si>
  <si>
    <t>PT</t>
  </si>
  <si>
    <t>Lisbon</t>
  </si>
  <si>
    <t>PW</t>
  </si>
  <si>
    <t>PY</t>
  </si>
  <si>
    <t>Asuncion</t>
  </si>
  <si>
    <t>QA</t>
  </si>
  <si>
    <t>Doha</t>
  </si>
  <si>
    <t>RO</t>
  </si>
  <si>
    <t>Bucharest</t>
  </si>
  <si>
    <t>RS</t>
  </si>
  <si>
    <t>Belgrade</t>
  </si>
  <si>
    <t>RU</t>
  </si>
  <si>
    <t>Moscow</t>
  </si>
  <si>
    <t>RW</t>
  </si>
  <si>
    <t>Kigali</t>
  </si>
  <si>
    <t>SA</t>
  </si>
  <si>
    <t>Riyadh</t>
  </si>
  <si>
    <t>SB</t>
  </si>
  <si>
    <t>Honiara</t>
  </si>
  <si>
    <t>SC</t>
  </si>
  <si>
    <t>Victoria</t>
  </si>
  <si>
    <t>SD</t>
  </si>
  <si>
    <t>Khartoum</t>
  </si>
  <si>
    <t>SE</t>
  </si>
  <si>
    <t>Stockholm</t>
  </si>
  <si>
    <t>SG</t>
  </si>
  <si>
    <t>Singapore</t>
  </si>
  <si>
    <t>SH</t>
  </si>
  <si>
    <t>Jamestown</t>
  </si>
  <si>
    <t>SI</t>
  </si>
  <si>
    <t>Ljubljana</t>
  </si>
  <si>
    <t>SK</t>
  </si>
  <si>
    <t>Bratislava</t>
  </si>
  <si>
    <t>SL</t>
  </si>
  <si>
    <t>Freetown</t>
  </si>
  <si>
    <t>SM</t>
  </si>
  <si>
    <t>San Marino</t>
  </si>
  <si>
    <t>SN</t>
  </si>
  <si>
    <t>Dakar</t>
  </si>
  <si>
    <t>SO</t>
  </si>
  <si>
    <t>Mogadishu</t>
  </si>
  <si>
    <t>SR</t>
  </si>
  <si>
    <t>Paramaribo</t>
  </si>
  <si>
    <t>SS</t>
  </si>
  <si>
    <t>Juba</t>
  </si>
  <si>
    <t>ST</t>
  </si>
  <si>
    <t>Sao Tome</t>
  </si>
  <si>
    <t>SV</t>
  </si>
  <si>
    <t>San Salvador</t>
  </si>
  <si>
    <t>SX</t>
  </si>
  <si>
    <t>Philipsburg</t>
  </si>
  <si>
    <t>SY</t>
  </si>
  <si>
    <t>Damascus</t>
  </si>
  <si>
    <t>SZ</t>
  </si>
  <si>
    <t>Mbabane</t>
  </si>
  <si>
    <t>TC</t>
  </si>
  <si>
    <t>Cockburn Town</t>
  </si>
  <si>
    <t>TD</t>
  </si>
  <si>
    <t>TG</t>
  </si>
  <si>
    <t>Lome</t>
  </si>
  <si>
    <t>TH</t>
  </si>
  <si>
    <t>Bangkok</t>
  </si>
  <si>
    <t>TJ</t>
  </si>
  <si>
    <t>Dushanbe</t>
  </si>
  <si>
    <t>TL</t>
  </si>
  <si>
    <t>Dili</t>
  </si>
  <si>
    <t>TM</t>
  </si>
  <si>
    <t>Ashgabat</t>
  </si>
  <si>
    <t>TN</t>
  </si>
  <si>
    <t>Tunis</t>
  </si>
  <si>
    <t>TO</t>
  </si>
  <si>
    <t>Nuku'alofa</t>
  </si>
  <si>
    <t>TR</t>
  </si>
  <si>
    <t>Ankara</t>
  </si>
  <si>
    <t>TT</t>
  </si>
  <si>
    <t>Port of Spain</t>
  </si>
  <si>
    <t>TV</t>
  </si>
  <si>
    <t>Funafuti</t>
  </si>
  <si>
    <t>TW</t>
  </si>
  <si>
    <t>Taipei</t>
  </si>
  <si>
    <t>TZ</t>
  </si>
  <si>
    <t>Dodoma</t>
  </si>
  <si>
    <t>UA</t>
  </si>
  <si>
    <t>Kiev</t>
  </si>
  <si>
    <t>UG</t>
  </si>
  <si>
    <t>Kampala</t>
  </si>
  <si>
    <t>US</t>
  </si>
  <si>
    <t>UY</t>
  </si>
  <si>
    <t>Montevideo</t>
  </si>
  <si>
    <t>UZ</t>
  </si>
  <si>
    <t>Tashkent</t>
  </si>
  <si>
    <t>VA</t>
  </si>
  <si>
    <t>Vatican City</t>
  </si>
  <si>
    <t>VC</t>
  </si>
  <si>
    <t>Kingstown</t>
  </si>
  <si>
    <t>VE</t>
  </si>
  <si>
    <t>Caracas</t>
  </si>
  <si>
    <t>VG</t>
  </si>
  <si>
    <t>Road Town</t>
  </si>
  <si>
    <t>VI</t>
  </si>
  <si>
    <t>Charlotte Amalie</t>
  </si>
  <si>
    <t>VN</t>
  </si>
  <si>
    <t>VU</t>
  </si>
  <si>
    <t>WS</t>
  </si>
  <si>
    <t>Apia</t>
  </si>
  <si>
    <t>YE</t>
  </si>
  <si>
    <t>Sanaa</t>
  </si>
  <si>
    <t>ZA</t>
  </si>
  <si>
    <t>ZM</t>
  </si>
  <si>
    <t>Lusaka</t>
  </si>
  <si>
    <t>ZW</t>
  </si>
  <si>
    <t>Harare</t>
  </si>
  <si>
    <t>country</t>
  </si>
  <si>
    <t>country_letter</t>
  </si>
  <si>
    <t>capital_letter</t>
  </si>
  <si>
    <t>type</t>
  </si>
  <si>
    <t>countryCapital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</si>
  <si>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</si>
  <si>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</si>
  <si>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</si>
  <si>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</si>
  <si>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</si>
  <si>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</si>
  <si>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</si>
  <si>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</si>
  <si>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</si>
  <si>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</si>
  <si>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</si>
  <si>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</si>
  <si>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</si>
  <si>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</si>
  <si>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</si>
  <si>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</si>
  <si>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</si>
  <si>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</si>
  <si>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</si>
  <si>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</si>
  <si>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</si>
  <si>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</si>
  <si>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</si>
  <si>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</si>
  <si>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</si>
  <si>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</si>
  <si>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</si>
  <si>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</si>
  <si>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</si>
  <si>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</si>
  <si>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</si>
  <si>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</si>
  <si>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</si>
  <si>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</si>
  <si>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</si>
  <si>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</si>
  <si>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</si>
  <si>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</si>
  <si>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</si>
  <si>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</si>
  <si>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N'Djamena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</si>
  <si>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</si>
  <si>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</si>
  <si>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</si>
  <si>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</si>
  <si>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</si>
  <si>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</si>
  <si>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</si>
  <si>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</si>
  <si>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</si>
  <si>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</si>
  <si>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</si>
  <si>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</si>
  <si>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</si>
  <si>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Denmark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</si>
  <si>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</si>
  <si>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</si>
  <si>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</si>
  <si>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</si>
  <si>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</si>
  <si>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</si>
  <si>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</si>
  <si>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</si>
  <si>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</si>
  <si>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</si>
  <si>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</si>
  <si>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</si>
  <si>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</si>
  <si>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</si>
  <si>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</si>
  <si>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</si>
  <si>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</si>
  <si>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</si>
  <si>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</si>
  <si>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</si>
  <si>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</si>
  <si>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</si>
  <si>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</si>
  <si>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</si>
  <si>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</si>
  <si>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</si>
  <si>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Guernsey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</si>
  <si>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</si>
  <si>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</si>
  <si>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</si>
  <si>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</si>
  <si>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</si>
  <si>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</si>
  <si>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</si>
  <si>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</si>
  <si>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</si>
  <si>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</si>
  <si>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</si>
  <si>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</si>
  <si>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</si>
  <si>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</si>
  <si>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</si>
  <si>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</si>
  <si>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</si>
  <si>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</si>
  <si>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</si>
  <si>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</si>
  <si>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</si>
  <si>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</si>
  <si>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</si>
  <si>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</si>
  <si>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</si>
  <si>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</si>
  <si>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</si>
  <si>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</si>
  <si>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</si>
  <si>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</si>
  <si>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</si>
  <si>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</si>
  <si>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</si>
  <si>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</si>
  <si>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</si>
  <si>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</si>
  <si>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</si>
  <si>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</si>
  <si>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</si>
  <si>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</si>
  <si>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</si>
  <si>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</si>
  <si>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</si>
  <si>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</si>
  <si>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</si>
  <si>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</si>
  <si>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</si>
  <si>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</si>
  <si>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Naypyidaw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</si>
  <si>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</si>
  <si>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</si>
  <si>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</si>
  <si>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</si>
  <si>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</si>
  <si>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</si>
  <si>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</si>
  <si>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</si>
  <si>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</si>
  <si>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</si>
  <si>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</si>
  <si>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</si>
  <si>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</si>
  <si>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</si>
  <si>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</si>
  <si>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</si>
  <si>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</si>
  <si>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</si>
  <si>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 City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</si>
  <si>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</si>
  <si>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</si>
  <si>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</si>
  <si>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</si>
  <si>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</si>
  <si>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</si>
  <si>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</si>
  <si>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</si>
  <si>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</si>
  <si>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</si>
  <si>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</si>
  <si>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</si>
  <si>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</si>
  <si>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</si>
  <si>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</si>
  <si>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</si>
  <si>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</si>
  <si>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Samoa</t>
  </si>
  <si>
    <t>Saudi Arabia</t>
  </si>
  <si>
    <t>Senegal</t>
  </si>
  <si>
    <t>Serbia</t>
  </si>
  <si>
    <t>Seychelles</t>
  </si>
  <si>
    <t>Sierra Leone</t>
  </si>
  <si>
    <t>Sint Maarten</t>
  </si>
  <si>
    <t>Slovakia</t>
  </si>
  <si>
    <t>Slovenia</t>
  </si>
  <si>
    <t>Solomon Islands</t>
  </si>
  <si>
    <t>Somalia</t>
  </si>
  <si>
    <t>South Africa</t>
  </si>
  <si>
    <t>Pretoria</t>
  </si>
  <si>
    <t>South Georgia and the South Sandwich Islands</t>
  </si>
  <si>
    <t>South Korea</t>
  </si>
  <si>
    <t>South Sudan</t>
  </si>
  <si>
    <t>Spain</t>
  </si>
  <si>
    <t>Sri Lanka</t>
  </si>
  <si>
    <t>Sri Jayawardenapura Kotte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</si>
  <si>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</si>
  <si>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</si>
  <si>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</si>
  <si>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</si>
  <si>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</si>
  <si>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</si>
  <si>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</si>
  <si>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</si>
  <si>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</si>
  <si>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</si>
  <si>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</si>
  <si>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</si>
  <si>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</si>
  <si>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</si>
  <si>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</si>
  <si>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</si>
  <si>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</si>
  <si>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</si>
  <si>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</si>
  <si>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</si>
  <si>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</si>
  <si>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</si>
  <si>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</si>
  <si>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</si>
  <si>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</si>
  <si>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</si>
  <si>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Hanoi</t>
  </si>
  <si>
    <t>Yemen</t>
  </si>
  <si>
    <t>Zambia</t>
  </si>
  <si>
    <t>Zimbabwe</t>
  </si>
  <si>
    <t>A</t>
  </si>
  <si>
    <t>S</t>
  </si>
  <si>
    <t>K</t>
  </si>
  <si>
    <t>E</t>
  </si>
  <si>
    <t>T</t>
  </si>
  <si>
    <t>P</t>
  </si>
  <si>
    <t>L</t>
  </si>
  <si>
    <t>B</t>
  </si>
  <si>
    <t>Y</t>
  </si>
  <si>
    <t>O</t>
  </si>
  <si>
    <t>G</t>
  </si>
  <si>
    <t>C</t>
  </si>
  <si>
    <t>V</t>
  </si>
  <si>
    <t>N</t>
  </si>
  <si>
    <t>M</t>
  </si>
  <si>
    <t>D</t>
  </si>
  <si>
    <t>H</t>
  </si>
  <si>
    <t>R</t>
  </si>
  <si>
    <t>F</t>
  </si>
  <si>
    <t>W</t>
  </si>
  <si>
    <t>Z</t>
  </si>
  <si>
    <t>Q</t>
  </si>
  <si>
    <t>I</t>
  </si>
  <si>
    <t>J</t>
  </si>
  <si>
    <t>U</t>
  </si>
  <si>
    <t>un_recognised</t>
  </si>
  <si>
    <t>yes</t>
  </si>
  <si>
    <t>no</t>
  </si>
  <si>
    <t>Micronesia</t>
  </si>
  <si>
    <t>Ngerulmud</t>
  </si>
  <si>
    <t>Taiwan</t>
  </si>
  <si>
    <t>Congo</t>
  </si>
  <si>
    <t>Sao Tome and Principe</t>
  </si>
  <si>
    <t>Eswatini</t>
  </si>
  <si>
    <t>United Kingdom</t>
  </si>
  <si>
    <t>Rome</t>
  </si>
  <si>
    <t>Gitega</t>
  </si>
  <si>
    <t>Kuwait City</t>
  </si>
  <si>
    <t>DRC</t>
  </si>
  <si>
    <t>East Timor</t>
  </si>
  <si>
    <t>Guinea Bissau</t>
  </si>
  <si>
    <t>flag</t>
  </si>
  <si>
    <t>continent</t>
  </si>
  <si>
    <t>Continent_Name</t>
  </si>
  <si>
    <t>Continent_Code</t>
  </si>
  <si>
    <t>Country_Name</t>
  </si>
  <si>
    <t>Two_Letter_Country_Code</t>
  </si>
  <si>
    <t>Three_Letter_Country_Code</t>
  </si>
  <si>
    <t>Country_Number</t>
  </si>
  <si>
    <t>Asia</t>
  </si>
  <si>
    <t>Afghanistan, Islamic Republic of</t>
  </si>
  <si>
    <t>AFG</t>
  </si>
  <si>
    <t>Europe</t>
  </si>
  <si>
    <t>EU</t>
  </si>
  <si>
    <t>Albania, Republic of</t>
  </si>
  <si>
    <t>ALB</t>
  </si>
  <si>
    <t>Antarctica</t>
  </si>
  <si>
    <t>AN</t>
  </si>
  <si>
    <t>Antarctica (the territory South of 60 deg S)</t>
  </si>
  <si>
    <t>AQ</t>
  </si>
  <si>
    <t>ATA</t>
  </si>
  <si>
    <t>Africa</t>
  </si>
  <si>
    <t>Algeria, People's Democratic Republic of</t>
  </si>
  <si>
    <t>DZA</t>
  </si>
  <si>
    <t>Oceania</t>
  </si>
  <si>
    <t>OC</t>
  </si>
  <si>
    <t>ASM</t>
  </si>
  <si>
    <t>Andorra, Principality of</t>
  </si>
  <si>
    <t>AND</t>
  </si>
  <si>
    <t>Angola, Republic of</t>
  </si>
  <si>
    <t>AGO</t>
  </si>
  <si>
    <t>North America</t>
  </si>
  <si>
    <t>ATG</t>
  </si>
  <si>
    <t>Azerbaijan, Republic of</t>
  </si>
  <si>
    <t>AZE</t>
  </si>
  <si>
    <t>South America</t>
  </si>
  <si>
    <t>Argentina, Argentine Republic</t>
  </si>
  <si>
    <t>ARG</t>
  </si>
  <si>
    <t>Australia, Commonwealth of</t>
  </si>
  <si>
    <t>AUS</t>
  </si>
  <si>
    <t>Austria, Republic of</t>
  </si>
  <si>
    <t>AUT</t>
  </si>
  <si>
    <t>Bahamas, Commonwealth of the</t>
  </si>
  <si>
    <t>BHS</t>
  </si>
  <si>
    <t>Bahrain, Kingdom of</t>
  </si>
  <si>
    <t>BHR</t>
  </si>
  <si>
    <t>Bangladesh, People's Republic of</t>
  </si>
  <si>
    <t>BGD</t>
  </si>
  <si>
    <t>Armenia, Republic of</t>
  </si>
  <si>
    <t>ARM</t>
  </si>
  <si>
    <t>BRB</t>
  </si>
  <si>
    <t>Belgium, Kingdom of</t>
  </si>
  <si>
    <t>BEL</t>
  </si>
  <si>
    <t>BMU</t>
  </si>
  <si>
    <t>Bhutan, Kingdom of</t>
  </si>
  <si>
    <t>BTN</t>
  </si>
  <si>
    <t>Bolivia, Republic of</t>
  </si>
  <si>
    <t>BOL</t>
  </si>
  <si>
    <t>BIH</t>
  </si>
  <si>
    <t>Botswana, Republic of</t>
  </si>
  <si>
    <t>BWA</t>
  </si>
  <si>
    <t>Bouvet Island (Bouvetoya)</t>
  </si>
  <si>
    <t>BV</t>
  </si>
  <si>
    <t>BVT</t>
  </si>
  <si>
    <t>Brazil, Federative Republic of</t>
  </si>
  <si>
    <t>BRA</t>
  </si>
  <si>
    <t>BLZ</t>
  </si>
  <si>
    <t>British Indian Ocean Territory (Chagos Archipelago)</t>
  </si>
  <si>
    <t>IO</t>
  </si>
  <si>
    <t>IOT</t>
  </si>
  <si>
    <t>SLB</t>
  </si>
  <si>
    <t>VGB</t>
  </si>
  <si>
    <t>Brunei Darussalam</t>
  </si>
  <si>
    <t>BRN</t>
  </si>
  <si>
    <t>Bulgaria, Republic of</t>
  </si>
  <si>
    <t>BGR</t>
  </si>
  <si>
    <t>Myanmar, Union of</t>
  </si>
  <si>
    <t>MMR</t>
  </si>
  <si>
    <t>Burundi, Republic of</t>
  </si>
  <si>
    <t>BDI</t>
  </si>
  <si>
    <t>Belarus, Republic of</t>
  </si>
  <si>
    <t>BLR</t>
  </si>
  <si>
    <t>Cambodia, Kingdom of</t>
  </si>
  <si>
    <t>KHM</t>
  </si>
  <si>
    <t>Cameroon, Republic of</t>
  </si>
  <si>
    <t>CMR</t>
  </si>
  <si>
    <t>CAN</t>
  </si>
  <si>
    <t>Cape Verde, Republic of</t>
  </si>
  <si>
    <t>CPV</t>
  </si>
  <si>
    <t>CYM</t>
  </si>
  <si>
    <t>CAF</t>
  </si>
  <si>
    <t>Sri Lanka, Democratic Socialist Republic of</t>
  </si>
  <si>
    <t>LKA</t>
  </si>
  <si>
    <t>Chad, Republic of</t>
  </si>
  <si>
    <t>TCD</t>
  </si>
  <si>
    <t>Chile, Republic of</t>
  </si>
  <si>
    <t>CHL</t>
  </si>
  <si>
    <t>China, People's Republic of</t>
  </si>
  <si>
    <t>CHN</t>
  </si>
  <si>
    <t>TWN</t>
  </si>
  <si>
    <t>CXR</t>
  </si>
  <si>
    <t>CCK</t>
  </si>
  <si>
    <t>Colombia, Republic of</t>
  </si>
  <si>
    <t>COL</t>
  </si>
  <si>
    <t>Comoros, Union of the</t>
  </si>
  <si>
    <t>COM</t>
  </si>
  <si>
    <t>Mayotte</t>
  </si>
  <si>
    <t>YT</t>
  </si>
  <si>
    <t>MYT</t>
  </si>
  <si>
    <t>Congo, Republic of the</t>
  </si>
  <si>
    <t>COG</t>
  </si>
  <si>
    <t>Congo, Democratic Republic of the</t>
  </si>
  <si>
    <t>COD</t>
  </si>
  <si>
    <t>COK</t>
  </si>
  <si>
    <t>Costa Rica, Republic of</t>
  </si>
  <si>
    <t>CRI</t>
  </si>
  <si>
    <t>Croatia, Republic of</t>
  </si>
  <si>
    <t>HRV</t>
  </si>
  <si>
    <t>Cuba, Republic of</t>
  </si>
  <si>
    <t>CUB</t>
  </si>
  <si>
    <t>Cyprus, Republic of</t>
  </si>
  <si>
    <t>CYP</t>
  </si>
  <si>
    <t>CZE</t>
  </si>
  <si>
    <t>Benin, Republic of</t>
  </si>
  <si>
    <t>BEN</t>
  </si>
  <si>
    <t>Denmark, Kingdom of</t>
  </si>
  <si>
    <t>DNK</t>
  </si>
  <si>
    <t>Dominica, Commonwealth of</t>
  </si>
  <si>
    <t>DMA</t>
  </si>
  <si>
    <t>DOM</t>
  </si>
  <si>
    <t>Ecuador, Republic of</t>
  </si>
  <si>
    <t>ECU</t>
  </si>
  <si>
    <t>El Salvador, Republic of</t>
  </si>
  <si>
    <t>SLV</t>
  </si>
  <si>
    <t>Equatorial Guinea, Republic of</t>
  </si>
  <si>
    <t>GNQ</t>
  </si>
  <si>
    <t>Ethiopia, Federal Democratic Republic of</t>
  </si>
  <si>
    <t>ETH</t>
  </si>
  <si>
    <t>Eritrea, State of</t>
  </si>
  <si>
    <t>ERI</t>
  </si>
  <si>
    <t>Estonia, Republic of</t>
  </si>
  <si>
    <t>EST</t>
  </si>
  <si>
    <t>FRO</t>
  </si>
  <si>
    <t>Falkland Islands (Malvinas)</t>
  </si>
  <si>
    <t>FLK</t>
  </si>
  <si>
    <t>SGS</t>
  </si>
  <si>
    <t>Fiji, Republic of the Fiji Islands</t>
  </si>
  <si>
    <t>FJI</t>
  </si>
  <si>
    <t>Finland, Republic of</t>
  </si>
  <si>
    <t>FIN</t>
  </si>
  <si>
    <t>Åland Islands</t>
  </si>
  <si>
    <t>AX</t>
  </si>
  <si>
    <t>ALA</t>
  </si>
  <si>
    <t>France, French Republic</t>
  </si>
  <si>
    <t>FRA</t>
  </si>
  <si>
    <t>GUF</t>
  </si>
  <si>
    <t>PYF</t>
  </si>
  <si>
    <t>French Southern Territories</t>
  </si>
  <si>
    <t>TF</t>
  </si>
  <si>
    <t>ATF</t>
  </si>
  <si>
    <t>Djibouti, Republic of</t>
  </si>
  <si>
    <t>DJI</t>
  </si>
  <si>
    <t>Gabon, Gabonese Republic</t>
  </si>
  <si>
    <t>GAB</t>
  </si>
  <si>
    <t>GEO</t>
  </si>
  <si>
    <t>Gambia, Republic of the</t>
  </si>
  <si>
    <t>GMB</t>
  </si>
  <si>
    <t>Palestinian Territory, Occupied</t>
  </si>
  <si>
    <t>PS</t>
  </si>
  <si>
    <t>PSE</t>
  </si>
  <si>
    <t>Germany, Federal Republic of</t>
  </si>
  <si>
    <t>DEU</t>
  </si>
  <si>
    <t>Ghana, Republic of</t>
  </si>
  <si>
    <t>GHA</t>
  </si>
  <si>
    <t>GIB</t>
  </si>
  <si>
    <t>Kiribati, Republic of</t>
  </si>
  <si>
    <t>KIR</t>
  </si>
  <si>
    <t>Greece, Hellenic Republic</t>
  </si>
  <si>
    <t>GRC</t>
  </si>
  <si>
    <t>GRL</t>
  </si>
  <si>
    <t>GRD</t>
  </si>
  <si>
    <t>Guadeloupe</t>
  </si>
  <si>
    <t>GP</t>
  </si>
  <si>
    <t>GLP</t>
  </si>
  <si>
    <t>GUM</t>
  </si>
  <si>
    <t>Guatemala, Republic of</t>
  </si>
  <si>
    <t>GTM</t>
  </si>
  <si>
    <t>Guinea, Republic of</t>
  </si>
  <si>
    <t>GIN</t>
  </si>
  <si>
    <t>Guyana, Co-operative Republic of</t>
  </si>
  <si>
    <t>GUY</t>
  </si>
  <si>
    <t>Haiti, Republic of</t>
  </si>
  <si>
    <t>HTI</t>
  </si>
  <si>
    <t>Heard Island and McDonald Islands</t>
  </si>
  <si>
    <t>HM</t>
  </si>
  <si>
    <t>HMD</t>
  </si>
  <si>
    <t>Holy See (Vatican City State)</t>
  </si>
  <si>
    <t>VAT</t>
  </si>
  <si>
    <t>Honduras, Republic of</t>
  </si>
  <si>
    <t>HND</t>
  </si>
  <si>
    <t>Hong Kong, Special Administrative Region of China</t>
  </si>
  <si>
    <t>HK</t>
  </si>
  <si>
    <t>HKG</t>
  </si>
  <si>
    <t>Hungary, Republic of</t>
  </si>
  <si>
    <t>HUN</t>
  </si>
  <si>
    <t>Iceland, Republic of</t>
  </si>
  <si>
    <t>ISL</t>
  </si>
  <si>
    <t>India, Republic of</t>
  </si>
  <si>
    <t>IND</t>
  </si>
  <si>
    <t>Indonesia, Republic of</t>
  </si>
  <si>
    <t>IDN</t>
  </si>
  <si>
    <t>Iran, Islamic Republic of</t>
  </si>
  <si>
    <t>IRN</t>
  </si>
  <si>
    <t>Iraq, Republic of</t>
  </si>
  <si>
    <t>IRQ</t>
  </si>
  <si>
    <t>IRL</t>
  </si>
  <si>
    <t>Israel, State of</t>
  </si>
  <si>
    <t>ISR</t>
  </si>
  <si>
    <t>Italy, Italian Republic</t>
  </si>
  <si>
    <t>ITA</t>
  </si>
  <si>
    <t>Cote d'Ivoire, Republic of</t>
  </si>
  <si>
    <t>CIV</t>
  </si>
  <si>
    <t>JAM</t>
  </si>
  <si>
    <t>JPN</t>
  </si>
  <si>
    <t>Kazakhstan, Republic of</t>
  </si>
  <si>
    <t>KAZ</t>
  </si>
  <si>
    <t>Jordan, Hashemite Kingdom of</t>
  </si>
  <si>
    <t>JOR</t>
  </si>
  <si>
    <t>Kenya, Republic of</t>
  </si>
  <si>
    <t>KEN</t>
  </si>
  <si>
    <t>Korea, Democratic People's Republic of</t>
  </si>
  <si>
    <t>PRK</t>
  </si>
  <si>
    <t>Korea, Republic of</t>
  </si>
  <si>
    <t>KOR</t>
  </si>
  <si>
    <t>Kuwait, State of</t>
  </si>
  <si>
    <t>KWT</t>
  </si>
  <si>
    <t>Kyrgyz Republic</t>
  </si>
  <si>
    <t>KGZ</t>
  </si>
  <si>
    <t>Lao People's Democratic Republic</t>
  </si>
  <si>
    <t>LAO</t>
  </si>
  <si>
    <t>Lebanon, Lebanese Republic</t>
  </si>
  <si>
    <t>LBN</t>
  </si>
  <si>
    <t>Lesotho, Kingdom of</t>
  </si>
  <si>
    <t>LSO</t>
  </si>
  <si>
    <t>Latvia, Republic of</t>
  </si>
  <si>
    <t>LVA</t>
  </si>
  <si>
    <t>Liberia, Republic of</t>
  </si>
  <si>
    <t>LBR</t>
  </si>
  <si>
    <t>Libyan Arab Jamahiriya</t>
  </si>
  <si>
    <t>LBY</t>
  </si>
  <si>
    <t>Liechtenstein, Principality of</t>
  </si>
  <si>
    <t>LIE</t>
  </si>
  <si>
    <t>Lithuania, Republic of</t>
  </si>
  <si>
    <t>LTU</t>
  </si>
  <si>
    <t>Luxembourg, Grand Duchy of</t>
  </si>
  <si>
    <t>LUX</t>
  </si>
  <si>
    <t>Macao, Special Administrative Region of China</t>
  </si>
  <si>
    <t>MO</t>
  </si>
  <si>
    <t>MAC</t>
  </si>
  <si>
    <t>Madagascar, Republic of</t>
  </si>
  <si>
    <t>MDG</t>
  </si>
  <si>
    <t>Malawi, Republic of</t>
  </si>
  <si>
    <t>MWI</t>
  </si>
  <si>
    <t>MYS</t>
  </si>
  <si>
    <t>Maldives, Republic of</t>
  </si>
  <si>
    <t>MDV</t>
  </si>
  <si>
    <t>Mali, Republic of</t>
  </si>
  <si>
    <t>MLI</t>
  </si>
  <si>
    <t>Malta, Republic of</t>
  </si>
  <si>
    <t>MLT</t>
  </si>
  <si>
    <t>Martinique</t>
  </si>
  <si>
    <t>MQ</t>
  </si>
  <si>
    <t>MTQ</t>
  </si>
  <si>
    <t>Mauritania, Islamic Republic of</t>
  </si>
  <si>
    <t>MRT</t>
  </si>
  <si>
    <t>Mauritius, Republic of</t>
  </si>
  <si>
    <t>MUS</t>
  </si>
  <si>
    <t>Mexico, United Mexican States</t>
  </si>
  <si>
    <t>MEX</t>
  </si>
  <si>
    <t>Monaco, Principality of</t>
  </si>
  <si>
    <t>MCO</t>
  </si>
  <si>
    <t>MNG</t>
  </si>
  <si>
    <t>Moldova, Republic of</t>
  </si>
  <si>
    <t>MDA</t>
  </si>
  <si>
    <t>Montenegro, Republic of</t>
  </si>
  <si>
    <t>MNE</t>
  </si>
  <si>
    <t>MSR</t>
  </si>
  <si>
    <t>Morocco, Kingdom of</t>
  </si>
  <si>
    <t>MAR</t>
  </si>
  <si>
    <t>Mozambique, Republic of</t>
  </si>
  <si>
    <t>MOZ</t>
  </si>
  <si>
    <t>Oman, Sultanate of</t>
  </si>
  <si>
    <t>OMN</t>
  </si>
  <si>
    <t>Namibia, Republic of</t>
  </si>
  <si>
    <t>NAM</t>
  </si>
  <si>
    <t>Nauru, Republic of</t>
  </si>
  <si>
    <t>NRU</t>
  </si>
  <si>
    <t>Nepal, State of</t>
  </si>
  <si>
    <t>NPL</t>
  </si>
  <si>
    <t>Netherlands, Kingdom of the</t>
  </si>
  <si>
    <t>NLD</t>
  </si>
  <si>
    <t>Netherlands Antilles</t>
  </si>
  <si>
    <t>ANT</t>
  </si>
  <si>
    <t>CUW</t>
  </si>
  <si>
    <t>ABW</t>
  </si>
  <si>
    <t>Sint Maarten (Netherlands)</t>
  </si>
  <si>
    <t>SXM</t>
  </si>
  <si>
    <t>Bonaire, Sint Eustatius and Saba</t>
  </si>
  <si>
    <t>BQ</t>
  </si>
  <si>
    <t>BES</t>
  </si>
  <si>
    <t>NCL</t>
  </si>
  <si>
    <t>Vanuatu, Republic of</t>
  </si>
  <si>
    <t>VUT</t>
  </si>
  <si>
    <t>NZL</t>
  </si>
  <si>
    <t>Nicaragua, Republic of</t>
  </si>
  <si>
    <t>NIC</t>
  </si>
  <si>
    <t>Niger, Republic of</t>
  </si>
  <si>
    <t>NER</t>
  </si>
  <si>
    <t>Nigeria, Federal Republic of</t>
  </si>
  <si>
    <t>NGA</t>
  </si>
  <si>
    <t>NIU</t>
  </si>
  <si>
    <t>NF</t>
  </si>
  <si>
    <t>NFK</t>
  </si>
  <si>
    <t>Norway, Kingdom of</t>
  </si>
  <si>
    <t>NOR</t>
  </si>
  <si>
    <t>Northern Mariana Islands, Commonwealth of the</t>
  </si>
  <si>
    <t>MNP</t>
  </si>
  <si>
    <t>United States Minor Outlying Islands</t>
  </si>
  <si>
    <t>UM</t>
  </si>
  <si>
    <t>UMI</t>
  </si>
  <si>
    <t>Micronesia, Federated States of</t>
  </si>
  <si>
    <t>FSM</t>
  </si>
  <si>
    <t>Marshall Islands, Republic of the</t>
  </si>
  <si>
    <t>MHL</t>
  </si>
  <si>
    <t>Palau, Republic of</t>
  </si>
  <si>
    <t>PLW</t>
  </si>
  <si>
    <t>Pakistan, Islamic Republic of</t>
  </si>
  <si>
    <t>PAK</t>
  </si>
  <si>
    <t>Panama, Republic of</t>
  </si>
  <si>
    <t>PAN</t>
  </si>
  <si>
    <t>Papua New Guinea, Independent State of</t>
  </si>
  <si>
    <t>PNG</t>
  </si>
  <si>
    <t>Paraguay, Republic of</t>
  </si>
  <si>
    <t>PRY</t>
  </si>
  <si>
    <t>Peru, Republic of</t>
  </si>
  <si>
    <t>PER</t>
  </si>
  <si>
    <t>Philippines, Republic of the</t>
  </si>
  <si>
    <t>PHL</t>
  </si>
  <si>
    <t>PCN</t>
  </si>
  <si>
    <t>Poland, Republic of</t>
  </si>
  <si>
    <t>POL</t>
  </si>
  <si>
    <t>Portugal, Portuguese Republic</t>
  </si>
  <si>
    <t>PRT</t>
  </si>
  <si>
    <t>Guinea-Bissau, Republic of</t>
  </si>
  <si>
    <t>GNB</t>
  </si>
  <si>
    <t>Timor-Leste, Democratic Republic of</t>
  </si>
  <si>
    <t>TLS</t>
  </si>
  <si>
    <t>Puerto Rico, Commonwealth of</t>
  </si>
  <si>
    <t>PRI</t>
  </si>
  <si>
    <t>Qatar, State of</t>
  </si>
  <si>
    <t>QAT</t>
  </si>
  <si>
    <t>Reunion</t>
  </si>
  <si>
    <t>RE</t>
  </si>
  <si>
    <t>REU</t>
  </si>
  <si>
    <t>ROU</t>
  </si>
  <si>
    <t>Russian Federation</t>
  </si>
  <si>
    <t>RUS</t>
  </si>
  <si>
    <t>Rwanda, Republic of</t>
  </si>
  <si>
    <t>RWA</t>
  </si>
  <si>
    <t>Saint Barthelemy</t>
  </si>
  <si>
    <t>BLM</t>
  </si>
  <si>
    <t>SHN</t>
  </si>
  <si>
    <t>Saint Kitts and Nevis, Federation of</t>
  </si>
  <si>
    <t>KNA</t>
  </si>
  <si>
    <t>AIA</t>
  </si>
  <si>
    <t>LCA</t>
  </si>
  <si>
    <t>MAF</t>
  </si>
  <si>
    <t>Saint Pierre and Miquelon</t>
  </si>
  <si>
    <t>PM</t>
  </si>
  <si>
    <t>SPM</t>
  </si>
  <si>
    <t>VCT</t>
  </si>
  <si>
    <t>San Marino, Republic of</t>
  </si>
  <si>
    <t>SMR</t>
  </si>
  <si>
    <t>Sao Tome and Principe, Democratic Republic of</t>
  </si>
  <si>
    <t>STP</t>
  </si>
  <si>
    <t>Saudi Arabia, Kingdom of</t>
  </si>
  <si>
    <t>SAU</t>
  </si>
  <si>
    <t>Senegal, Republic of</t>
  </si>
  <si>
    <t>SEN</t>
  </si>
  <si>
    <t>Serbia, Republic of</t>
  </si>
  <si>
    <t>SRB</t>
  </si>
  <si>
    <t>Seychelles, Republic of</t>
  </si>
  <si>
    <t>SYC</t>
  </si>
  <si>
    <t>Sierra Leone, Republic of</t>
  </si>
  <si>
    <t>SLE</t>
  </si>
  <si>
    <t>Singapore, Republic of</t>
  </si>
  <si>
    <t>SGP</t>
  </si>
  <si>
    <t>Slovakia (Slovak Republic)</t>
  </si>
  <si>
    <t>SVK</t>
  </si>
  <si>
    <t>Vietnam, Socialist Republic of</t>
  </si>
  <si>
    <t>VNM</t>
  </si>
  <si>
    <t>Slovenia, Republic of</t>
  </si>
  <si>
    <t>SVN</t>
  </si>
  <si>
    <t>Somalia, Somali Republic</t>
  </si>
  <si>
    <t>SOM</t>
  </si>
  <si>
    <t>South Africa, Republic of</t>
  </si>
  <si>
    <t>ZAF</t>
  </si>
  <si>
    <t>Zimbabwe, Republic of</t>
  </si>
  <si>
    <t>ZWE</t>
  </si>
  <si>
    <t>Spain, Kingdom of</t>
  </si>
  <si>
    <t>ESP</t>
  </si>
  <si>
    <t>SSD</t>
  </si>
  <si>
    <t>Western Sahara</t>
  </si>
  <si>
    <t>EH</t>
  </si>
  <si>
    <t>ESH</t>
  </si>
  <si>
    <t>Sudan, Republic of</t>
  </si>
  <si>
    <t>SDN</t>
  </si>
  <si>
    <t>Suriname, Republic of</t>
  </si>
  <si>
    <t>SUR</t>
  </si>
  <si>
    <t>Svalbard &amp; Jan Mayen Islands</t>
  </si>
  <si>
    <t>SJ</t>
  </si>
  <si>
    <t>SJM</t>
  </si>
  <si>
    <t>Swaziland, Kingdom of</t>
  </si>
  <si>
    <t>SWZ</t>
  </si>
  <si>
    <t>Sweden, Kingdom of</t>
  </si>
  <si>
    <t>SWE</t>
  </si>
  <si>
    <t>Switzerland, Swiss Confederation</t>
  </si>
  <si>
    <t>CHE</t>
  </si>
  <si>
    <t>Syrian Arab Republic</t>
  </si>
  <si>
    <t>SYR</t>
  </si>
  <si>
    <t>Tajikistan, Republic of</t>
  </si>
  <si>
    <t>TJK</t>
  </si>
  <si>
    <t>Thailand, Kingdom of</t>
  </si>
  <si>
    <t>THA</t>
  </si>
  <si>
    <t>Togo, Togolese Republic</t>
  </si>
  <si>
    <t>TGO</t>
  </si>
  <si>
    <t>Tokelau</t>
  </si>
  <si>
    <t>TK</t>
  </si>
  <si>
    <t>TKL</t>
  </si>
  <si>
    <t>Tonga, Kingdom of</t>
  </si>
  <si>
    <t>TON</t>
  </si>
  <si>
    <t>Trinidad and Tobago, Republic of</t>
  </si>
  <si>
    <t>TTO</t>
  </si>
  <si>
    <t>ARE</t>
  </si>
  <si>
    <t>Tunisia, Tunisian Republic</t>
  </si>
  <si>
    <t>TUN</t>
  </si>
  <si>
    <t>Turkey, Republic of</t>
  </si>
  <si>
    <t>TUR</t>
  </si>
  <si>
    <t>TKM</t>
  </si>
  <si>
    <t>TCA</t>
  </si>
  <si>
    <t>TUV</t>
  </si>
  <si>
    <t>Uganda, Republic of</t>
  </si>
  <si>
    <t>UGA</t>
  </si>
  <si>
    <t>UKR</t>
  </si>
  <si>
    <t>Macedonia, The Former Yugoslav Republic of</t>
  </si>
  <si>
    <t>MKD</t>
  </si>
  <si>
    <t>Egypt, Arab Republic of</t>
  </si>
  <si>
    <t>EGY</t>
  </si>
  <si>
    <t>United Kingdom of Great Britain &amp; Northern Ireland</t>
  </si>
  <si>
    <t>GBR</t>
  </si>
  <si>
    <t>Guernsey, Bailiwick of</t>
  </si>
  <si>
    <t>GGY</t>
  </si>
  <si>
    <t>Jersey, Bailiwick of</t>
  </si>
  <si>
    <t>JEY</t>
  </si>
  <si>
    <t>IMN</t>
  </si>
  <si>
    <t>Tanzania, United Republic of</t>
  </si>
  <si>
    <t>TZA</t>
  </si>
  <si>
    <t>United States of America</t>
  </si>
  <si>
    <t>USA</t>
  </si>
  <si>
    <t>VIR</t>
  </si>
  <si>
    <t>BFA</t>
  </si>
  <si>
    <t>Uruguay, Eastern Republic of</t>
  </si>
  <si>
    <t>URY</t>
  </si>
  <si>
    <t>Uzbekistan, Republic of</t>
  </si>
  <si>
    <t>UZB</t>
  </si>
  <si>
    <t>Venezuela, Bolivarian Republic of</t>
  </si>
  <si>
    <t>VEN</t>
  </si>
  <si>
    <t>Wallis and Futuna</t>
  </si>
  <si>
    <t>WF</t>
  </si>
  <si>
    <t>WLF</t>
  </si>
  <si>
    <t>Samoa, Independent State of</t>
  </si>
  <si>
    <t>WSM</t>
  </si>
  <si>
    <t>YEM</t>
  </si>
  <si>
    <t>Zambia, Republic of</t>
  </si>
  <si>
    <t>ZMB</t>
  </si>
  <si>
    <t>Disputed Territory</t>
  </si>
  <si>
    <t>XX</t>
  </si>
  <si>
    <t>Iraq-Saudi Arabia Neutral Zone</t>
  </si>
  <si>
    <t>XE</t>
  </si>
  <si>
    <t>United Nations Neutral Zone</t>
  </si>
  <si>
    <t>XD</t>
  </si>
  <si>
    <t>Spratly Islands</t>
  </si>
  <si>
    <t>XS</t>
  </si>
  <si>
    <t>Port Vila</t>
  </si>
  <si>
    <t>Port au Prince</t>
  </si>
  <si>
    <t>Афганистан</t>
  </si>
  <si>
    <t>Албания</t>
  </si>
  <si>
    <t>Алжир</t>
  </si>
  <si>
    <t>Американское Самоа</t>
  </si>
  <si>
    <t>Андорра</t>
  </si>
  <si>
    <t>Ангола</t>
  </si>
  <si>
    <t>Ангилья</t>
  </si>
  <si>
    <t>Антигуа и Барбуда</t>
  </si>
  <si>
    <t>Аргентина</t>
  </si>
  <si>
    <t>Армения</t>
  </si>
  <si>
    <t>Аруба</t>
  </si>
  <si>
    <t>Остров Вознесения</t>
  </si>
  <si>
    <t>Австралия</t>
  </si>
  <si>
    <t>Австрия</t>
  </si>
  <si>
    <t>Азербайджан</t>
  </si>
  <si>
    <t>Багамы</t>
  </si>
  <si>
    <t>Бахрейн</t>
  </si>
  <si>
    <t>Бангладеш</t>
  </si>
  <si>
    <t>Барбадос</t>
  </si>
  <si>
    <t>Беларусь</t>
  </si>
  <si>
    <t>Бельгия</t>
  </si>
  <si>
    <t>Белиз</t>
  </si>
  <si>
    <t>Бенин</t>
  </si>
  <si>
    <t>Бермуды</t>
  </si>
  <si>
    <t>Бутан</t>
  </si>
  <si>
    <t>Боливия</t>
  </si>
  <si>
    <t>Босния и Герцеговина</t>
  </si>
  <si>
    <t>Ботсвана</t>
  </si>
  <si>
    <t>Бразилия</t>
  </si>
  <si>
    <t>Британские Виргинские острова</t>
  </si>
  <si>
    <t>Бруней</t>
  </si>
  <si>
    <t>Болгария</t>
  </si>
  <si>
    <t>Бурунди</t>
  </si>
  <si>
    <t>Камбоджа</t>
  </si>
  <si>
    <t>Камерун</t>
  </si>
  <si>
    <t>Канада</t>
  </si>
  <si>
    <t>Каймановы острова</t>
  </si>
  <si>
    <t>Центральноафриканская Республика</t>
  </si>
  <si>
    <t>Чад</t>
  </si>
  <si>
    <t>Чили</t>
  </si>
  <si>
    <t>Китай</t>
  </si>
  <si>
    <t>Остров Рождества</t>
  </si>
  <si>
    <t>Кокосовые (Килинг) острова</t>
  </si>
  <si>
    <t>Колумбия</t>
  </si>
  <si>
    <t>Коморы</t>
  </si>
  <si>
    <t>Острова Кука</t>
  </si>
  <si>
    <t>Хорватия</t>
  </si>
  <si>
    <t>Куба</t>
  </si>
  <si>
    <t>Кюрасао</t>
  </si>
  <si>
    <t>Кипр</t>
  </si>
  <si>
    <t>Чехия</t>
  </si>
  <si>
    <t>Демократическая Республика Конго</t>
  </si>
  <si>
    <t>Дания</t>
  </si>
  <si>
    <t>Джибути</t>
  </si>
  <si>
    <t>Доминика</t>
  </si>
  <si>
    <t>Доминиканская Республика</t>
  </si>
  <si>
    <t>Восточный Тимор</t>
  </si>
  <si>
    <t>Эквадор</t>
  </si>
  <si>
    <t>Египет</t>
  </si>
  <si>
    <t>Сальвадор</t>
  </si>
  <si>
    <t>Экваториальная Гвинея</t>
  </si>
  <si>
    <t>Эритрея</t>
  </si>
  <si>
    <t>Эстония</t>
  </si>
  <si>
    <t>Эфиопия</t>
  </si>
  <si>
    <t>Фолклендские острова</t>
  </si>
  <si>
    <t>Фарерские острова</t>
  </si>
  <si>
    <t>Микронезия</t>
  </si>
  <si>
    <t>Фиджи</t>
  </si>
  <si>
    <t>Финляндия</t>
  </si>
  <si>
    <t>Франция</t>
  </si>
  <si>
    <t>Французская Гвиана</t>
  </si>
  <si>
    <t>Французская Полинезия</t>
  </si>
  <si>
    <t>Габон</t>
  </si>
  <si>
    <t>Гамбия</t>
  </si>
  <si>
    <t>Грузия</t>
  </si>
  <si>
    <t>Германия</t>
  </si>
  <si>
    <t>Гана</t>
  </si>
  <si>
    <t>Гибралтар</t>
  </si>
  <si>
    <t>Греция</t>
  </si>
  <si>
    <t>Гренландия</t>
  </si>
  <si>
    <t>Гренада</t>
  </si>
  <si>
    <t>Гуам</t>
  </si>
  <si>
    <t>Гватемала</t>
  </si>
  <si>
    <t>Гернси</t>
  </si>
  <si>
    <t>Гвинея</t>
  </si>
  <si>
    <t>Гайана</t>
  </si>
  <si>
    <t>Гаити</t>
  </si>
  <si>
    <t>Гондурас</t>
  </si>
  <si>
    <t>Венгрия</t>
  </si>
  <si>
    <t>Исландия</t>
  </si>
  <si>
    <t>Индия</t>
  </si>
  <si>
    <t>Индонезия</t>
  </si>
  <si>
    <t>Иран</t>
  </si>
  <si>
    <t>Ирак</t>
  </si>
  <si>
    <t>Ирландия</t>
  </si>
  <si>
    <t>Остров Мэн</t>
  </si>
  <si>
    <t>Израиль</t>
  </si>
  <si>
    <t>Италия</t>
  </si>
  <si>
    <t>Ямайка</t>
  </si>
  <si>
    <t>Япония</t>
  </si>
  <si>
    <t>Джерси</t>
  </si>
  <si>
    <t>Иордания</t>
  </si>
  <si>
    <t>Казахстан</t>
  </si>
  <si>
    <t>Кения</t>
  </si>
  <si>
    <t>Кирибати</t>
  </si>
  <si>
    <t>Кувейт</t>
  </si>
  <si>
    <t>Кыргызстан</t>
  </si>
  <si>
    <t>Лаос</t>
  </si>
  <si>
    <t>Латвия</t>
  </si>
  <si>
    <t>Ливан</t>
  </si>
  <si>
    <t>Лесото</t>
  </si>
  <si>
    <t>Либерия</t>
  </si>
  <si>
    <t>Ливия</t>
  </si>
  <si>
    <t>Лихтенштейн</t>
  </si>
  <si>
    <t>Литва</t>
  </si>
  <si>
    <t>Люксембург</t>
  </si>
  <si>
    <t>Северная Македония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</si>
  <si>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</si>
  <si>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</si>
  <si>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</si>
  <si>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</si>
  <si>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</si>
  <si>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</si>
  <si>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Маршалловы острова</t>
  </si>
  <si>
    <t>Мавритания</t>
  </si>
  <si>
    <t>Маврикий</t>
  </si>
  <si>
    <t>Мексика</t>
  </si>
  <si>
    <t>Молдова</t>
  </si>
  <si>
    <t>Монако</t>
  </si>
  <si>
    <t>Монголия</t>
  </si>
  <si>
    <t>Черногория</t>
  </si>
  <si>
    <t>Монтсеррат</t>
  </si>
  <si>
    <t>Марокко</t>
  </si>
  <si>
    <t>Мозамбик</t>
  </si>
  <si>
    <t>Мьянма</t>
  </si>
  <si>
    <t>Намибия</t>
  </si>
  <si>
    <t>Науру</t>
  </si>
  <si>
    <t>Непал</t>
  </si>
  <si>
    <t>Нидерланды</t>
  </si>
  <si>
    <t>Новая Каледония</t>
  </si>
  <si>
    <t>Новая Зеландия</t>
  </si>
  <si>
    <t>Никарагуа</t>
  </si>
  <si>
    <t>Нигер</t>
  </si>
  <si>
    <t>Нигерия</t>
  </si>
  <si>
    <t>Ниуэ</t>
  </si>
  <si>
    <t>Остров Норфолк</t>
  </si>
  <si>
    <t>Северная Корея</t>
  </si>
  <si>
    <t>Северный Кипр</t>
  </si>
  <si>
    <t>Северные Марианские острова</t>
  </si>
  <si>
    <t>Норвегия</t>
  </si>
  <si>
    <t>Оман</t>
  </si>
  <si>
    <t>Пакистан</t>
  </si>
  <si>
    <t>Палау</t>
  </si>
  <si>
    <t>Палестина</t>
  </si>
  <si>
    <t>Панама</t>
  </si>
  <si>
    <t>Парагвай</t>
  </si>
  <si>
    <t>Перу</t>
  </si>
  <si>
    <t>Филиппины</t>
  </si>
  <si>
    <t>Острова Питкэрн</t>
  </si>
  <si>
    <t>Польша</t>
  </si>
  <si>
    <t>Португалия</t>
  </si>
  <si>
    <t>Катар</t>
  </si>
  <si>
    <t>Тайвань</t>
  </si>
  <si>
    <t>Конго</t>
  </si>
  <si>
    <t>Румыния</t>
  </si>
  <si>
    <t>Россия</t>
  </si>
  <si>
    <t>Руанда</t>
  </si>
  <si>
    <t>Остров Святой Елены</t>
  </si>
  <si>
    <t>Самоа</t>
  </si>
  <si>
    <t>Саудовская Аравия</t>
  </si>
  <si>
    <t>Сенегал</t>
  </si>
  <si>
    <t>Сербия</t>
  </si>
  <si>
    <t>Сейшельские Острова</t>
  </si>
  <si>
    <t>Сингапур</t>
  </si>
  <si>
    <t>Словакия</t>
  </si>
  <si>
    <t>Словения</t>
  </si>
  <si>
    <t>Соломоновы Острова</t>
  </si>
  <si>
    <t>Сомали</t>
  </si>
  <si>
    <t>Южная Африка</t>
  </si>
  <si>
    <t>Южная Георгия и Южные Сандвичевы острова</t>
  </si>
  <si>
    <t>Южная Корея</t>
  </si>
  <si>
    <t>Южный Судан</t>
  </si>
  <si>
    <t>Испания</t>
  </si>
  <si>
    <t>Судан</t>
  </si>
  <si>
    <t>Суринам</t>
  </si>
  <si>
    <t>Эсватини</t>
  </si>
  <si>
    <t>Швеция</t>
  </si>
  <si>
    <t>Швейцария</t>
  </si>
  <si>
    <t>Сирия</t>
  </si>
  <si>
    <t>Таджикистан</t>
  </si>
  <si>
    <t>Танзания</t>
  </si>
  <si>
    <t>Таиланд</t>
  </si>
  <si>
    <t>Того</t>
  </si>
  <si>
    <t>Тонга</t>
  </si>
  <si>
    <t>Тринидад и Тобаго</t>
  </si>
  <si>
    <t>Тунис</t>
  </si>
  <si>
    <t>Турция</t>
  </si>
  <si>
    <t>Туркменистан</t>
  </si>
  <si>
    <t>Острова Тёркс и Кайкос</t>
  </si>
  <si>
    <t>Тувалу</t>
  </si>
  <si>
    <t>Уганда</t>
  </si>
  <si>
    <t>Украина</t>
  </si>
  <si>
    <t>Объединённые Арабские Эмираты</t>
  </si>
  <si>
    <t>Великобритания</t>
  </si>
  <si>
    <t>Соединённые Штаты</t>
  </si>
  <si>
    <t>Виргинские острова США</t>
  </si>
  <si>
    <t>Уругвай</t>
  </si>
  <si>
    <t>Узбекистан</t>
  </si>
  <si>
    <t>Вануату</t>
  </si>
  <si>
    <t>Ватикан</t>
  </si>
  <si>
    <t>Венесуэла</t>
  </si>
  <si>
    <t>Вьетнам</t>
  </si>
  <si>
    <t>Йемен</t>
  </si>
  <si>
    <t>Замбия</t>
  </si>
  <si>
    <t>Зимбабве</t>
  </si>
  <si>
    <t>Кабул</t>
  </si>
  <si>
    <t>Тирана</t>
  </si>
  <si>
    <t>Луанда</t>
  </si>
  <si>
    <t>Вэлли</t>
  </si>
  <si>
    <t>Ереван</t>
  </si>
  <si>
    <t>Ораньестад</t>
  </si>
  <si>
    <t>Джорджтаун</t>
  </si>
  <si>
    <t>Канберра</t>
  </si>
  <si>
    <t>Вена</t>
  </si>
  <si>
    <t>Баку</t>
  </si>
  <si>
    <t>Нассау</t>
  </si>
  <si>
    <t>Манама</t>
  </si>
  <si>
    <t>Дакка</t>
  </si>
  <si>
    <t>Бриджтаун</t>
  </si>
  <si>
    <t>Минск</t>
  </si>
  <si>
    <t>Брюссель</t>
  </si>
  <si>
    <t>Бельмопан</t>
  </si>
  <si>
    <t>Гамильтон</t>
  </si>
  <si>
    <t>Тхимпху</t>
  </si>
  <si>
    <t>Сукре</t>
  </si>
  <si>
    <t>Сараево</t>
  </si>
  <si>
    <t>Габороне</t>
  </si>
  <si>
    <t>Бразилиа</t>
  </si>
  <si>
    <t>София</t>
  </si>
  <si>
    <t>Уагадугу</t>
  </si>
  <si>
    <t>Гитега</t>
  </si>
  <si>
    <t>Пномпень</t>
  </si>
  <si>
    <t>Яунде</t>
  </si>
  <si>
    <t>Оттава</t>
  </si>
  <si>
    <t>Прая</t>
  </si>
  <si>
    <t>Банги</t>
  </si>
  <si>
    <t>Нджамена</t>
  </si>
  <si>
    <t>Сантьяго</t>
  </si>
  <si>
    <t>Пекин</t>
  </si>
  <si>
    <t>Богота</t>
  </si>
  <si>
    <t>Морони</t>
  </si>
  <si>
    <t>Аваруа</t>
  </si>
  <si>
    <t>Ямусукро</t>
  </si>
  <si>
    <t>Загреб</t>
  </si>
  <si>
    <t>Гавана</t>
  </si>
  <si>
    <t>Виллемстад</t>
  </si>
  <si>
    <t>Никосия</t>
  </si>
  <si>
    <t>Прага</t>
  </si>
  <si>
    <t>Киншаса</t>
  </si>
  <si>
    <t>Копенгаген</t>
  </si>
  <si>
    <t>Розо</t>
  </si>
  <si>
    <t>Дили</t>
  </si>
  <si>
    <t>Кито</t>
  </si>
  <si>
    <t>Каир</t>
  </si>
  <si>
    <t>Малабо</t>
  </si>
  <si>
    <t>Асмэра</t>
  </si>
  <si>
    <t>Таллин</t>
  </si>
  <si>
    <t>Стэнли</t>
  </si>
  <si>
    <t>Торсхавн</t>
  </si>
  <si>
    <t>Паликир</t>
  </si>
  <si>
    <t>Сува</t>
  </si>
  <si>
    <t>Хельсинки</t>
  </si>
  <si>
    <t>Париж</t>
  </si>
  <si>
    <t>Кайенна</t>
  </si>
  <si>
    <t>Папеэте</t>
  </si>
  <si>
    <t>Либревиль</t>
  </si>
  <si>
    <t>Банжул</t>
  </si>
  <si>
    <t>Тбилиси</t>
  </si>
  <si>
    <t>Берлин</t>
  </si>
  <si>
    <t>Аккра</t>
  </si>
  <si>
    <t>Афины</t>
  </si>
  <si>
    <t>Нуук</t>
  </si>
  <si>
    <t>Хагатна</t>
  </si>
  <si>
    <t>Конакри</t>
  </si>
  <si>
    <t>Бисау</t>
  </si>
  <si>
    <t>Тегусигальпа</t>
  </si>
  <si>
    <t>Будапешт</t>
  </si>
  <si>
    <t>Рейкьявик</t>
  </si>
  <si>
    <t>Джакарта</t>
  </si>
  <si>
    <t>Тегеран</t>
  </si>
  <si>
    <t>Багдад</t>
  </si>
  <si>
    <t>Дублин</t>
  </si>
  <si>
    <t>Дуглас</t>
  </si>
  <si>
    <t>Иерусалим</t>
  </si>
  <si>
    <t>Рим</t>
  </si>
  <si>
    <t>Кингстон</t>
  </si>
  <si>
    <t>Токио</t>
  </si>
  <si>
    <t>Амман</t>
  </si>
  <si>
    <t>Астана</t>
  </si>
  <si>
    <t>Найроби</t>
  </si>
  <si>
    <t>Тарава</t>
  </si>
  <si>
    <t>Бишкек</t>
  </si>
  <si>
    <t>Вьентьян</t>
  </si>
  <si>
    <t>Рига</t>
  </si>
  <si>
    <t>Бейрут</t>
  </si>
  <si>
    <t>Масеру</t>
  </si>
  <si>
    <t>Монровия</t>
  </si>
  <si>
    <t>Триполи</t>
  </si>
  <si>
    <t>Вадуц</t>
  </si>
  <si>
    <t>Вильнюс</t>
  </si>
  <si>
    <t>Скопье</t>
  </si>
  <si>
    <t>Антананариву</t>
  </si>
  <si>
    <t>Лилонгве</t>
  </si>
  <si>
    <t>Мале</t>
  </si>
  <si>
    <t>Бамако</t>
  </si>
  <si>
    <t>Валлетта</t>
  </si>
  <si>
    <t>Маджуро</t>
  </si>
  <si>
    <t>Нуакшот</t>
  </si>
  <si>
    <t>Мехико</t>
  </si>
  <si>
    <t>Кишинёв</t>
  </si>
  <si>
    <t>Подгорица</t>
  </si>
  <si>
    <t>Плимут</t>
  </si>
  <si>
    <t>Рабат</t>
  </si>
  <si>
    <t>Мапуту</t>
  </si>
  <si>
    <t>Нейпьидо</t>
  </si>
  <si>
    <t>Виндхук</t>
  </si>
  <si>
    <t>Ярен</t>
  </si>
  <si>
    <t>Катманду</t>
  </si>
  <si>
    <t>Амстердам</t>
  </si>
  <si>
    <t>Нумеа</t>
  </si>
  <si>
    <t>Веллингтон</t>
  </si>
  <si>
    <t>Манагуа</t>
  </si>
  <si>
    <t>Ниамей</t>
  </si>
  <si>
    <t>Абуджа</t>
  </si>
  <si>
    <t>Алофи</t>
  </si>
  <si>
    <t>Пхеньян</t>
  </si>
  <si>
    <t>Сайпан</t>
  </si>
  <si>
    <t>Осло</t>
  </si>
  <si>
    <t>Маскат</t>
  </si>
  <si>
    <t>Исламабад</t>
  </si>
  <si>
    <t>Нгерулмуд</t>
  </si>
  <si>
    <t>Асунсьон</t>
  </si>
  <si>
    <t>Лима</t>
  </si>
  <si>
    <t>Манила</t>
  </si>
  <si>
    <t>Адамстаун</t>
  </si>
  <si>
    <t>Варшава</t>
  </si>
  <si>
    <t>Лиссабон</t>
  </si>
  <si>
    <t>Доха</t>
  </si>
  <si>
    <t>Тайбэй</t>
  </si>
  <si>
    <t>Браззавиль</t>
  </si>
  <si>
    <t>Бухарест</t>
  </si>
  <si>
    <t>Москва</t>
  </si>
  <si>
    <t>Кигали</t>
  </si>
  <si>
    <t>Густавия</t>
  </si>
  <si>
    <t>Джеймстаун</t>
  </si>
  <si>
    <t>Бастер</t>
  </si>
  <si>
    <t>Кастри</t>
  </si>
  <si>
    <t>Мариго</t>
  </si>
  <si>
    <t>Кингстаун</t>
  </si>
  <si>
    <t>Апиа</t>
  </si>
  <si>
    <t>Дакар</t>
  </si>
  <si>
    <t>Белград</t>
  </si>
  <si>
    <t>Виктория</t>
  </si>
  <si>
    <t>Фритаун</t>
  </si>
  <si>
    <t>Филипсбург</t>
  </si>
  <si>
    <t>Братислава</t>
  </si>
  <si>
    <t>Любляна</t>
  </si>
  <si>
    <t>Хониара</t>
  </si>
  <si>
    <t>Могадишо</t>
  </si>
  <si>
    <t>Претория</t>
  </si>
  <si>
    <t>Гритвикен</t>
  </si>
  <si>
    <t>Сеул</t>
  </si>
  <si>
    <t>Джуба</t>
  </si>
  <si>
    <t>Мадрид</t>
  </si>
  <si>
    <t>Хартум</t>
  </si>
  <si>
    <t>Парамарибо</t>
  </si>
  <si>
    <t>Мбабане</t>
  </si>
  <si>
    <t>Стокгольм</t>
  </si>
  <si>
    <t>Берн</t>
  </si>
  <si>
    <t>Дамаск</t>
  </si>
  <si>
    <t>Душанбе</t>
  </si>
  <si>
    <t>Додома</t>
  </si>
  <si>
    <t>Бангкок</t>
  </si>
  <si>
    <t>Ломе</t>
  </si>
  <si>
    <t>Нукуалофа</t>
  </si>
  <si>
    <t>Анкара</t>
  </si>
  <si>
    <t>Ашхабад</t>
  </si>
  <si>
    <t>Фунафути</t>
  </si>
  <si>
    <t>Кампала</t>
  </si>
  <si>
    <t>Киев</t>
  </si>
  <si>
    <t>Лондон</t>
  </si>
  <si>
    <t>Вашингтон, округ Колумбия</t>
  </si>
  <si>
    <t>Монтевидео</t>
  </si>
  <si>
    <t>Ташкент</t>
  </si>
  <si>
    <t>Каракас</t>
  </si>
  <si>
    <t>Ханой</t>
  </si>
  <si>
    <t>Сана</t>
  </si>
  <si>
    <t>Лусака</t>
  </si>
  <si>
    <t>Хараре</t>
  </si>
  <si>
    <t>Азия</t>
  </si>
  <si>
    <t>Европа</t>
  </si>
  <si>
    <t>Африка</t>
  </si>
  <si>
    <t>Океания</t>
  </si>
  <si>
    <t>Северная Америка</t>
  </si>
  <si>
    <t>Южная Америка</t>
  </si>
  <si>
    <t>Антарктида</t>
  </si>
  <si>
    <t>Коста Рика</t>
  </si>
  <si>
    <t>Котд’Ивуар</t>
  </si>
  <si>
    <t>Папуа Новая Гвинея</t>
  </si>
  <si>
    <t>Пуэрто Рико</t>
  </si>
  <si>
    <t>Сен Бартелеми</t>
  </si>
  <si>
    <t>Сент Китс и Невис</t>
  </si>
  <si>
    <t>Паго Паго</t>
  </si>
  <si>
    <t>Андорра ла Велья</t>
  </si>
  <si>
    <t>Сент Джонс</t>
  </si>
  <si>
    <t>Буэнос Айрес</t>
  </si>
  <si>
    <t>Порто Ново</t>
  </si>
  <si>
    <t>Роуд Таун</t>
  </si>
  <si>
    <t>Бандар Сери Бегаван</t>
  </si>
  <si>
    <t>Буркина Фасо</t>
  </si>
  <si>
    <t>Кабо Верде</t>
  </si>
  <si>
    <t>Флайинг Фиш Коув</t>
  </si>
  <si>
    <t>Уэст Айленд</t>
  </si>
  <si>
    <t>Сан Хосе</t>
  </si>
  <si>
    <t>Санто Доминго</t>
  </si>
  <si>
    <t>Сан Сальвадор</t>
  </si>
  <si>
    <t>Аддис Абеба</t>
  </si>
  <si>
    <t>Сент Джорджес</t>
  </si>
  <si>
    <t>Сент Питер Порт</t>
  </si>
  <si>
    <t>Гвинея Бисау</t>
  </si>
  <si>
    <t>Порт о Пренс</t>
  </si>
  <si>
    <t>Нью Дели</t>
  </si>
  <si>
    <t>Сент Хелиер</t>
  </si>
  <si>
    <t>Куала Лумпур</t>
  </si>
  <si>
    <t>Порт Луи</t>
  </si>
  <si>
    <t>Улан Батор</t>
  </si>
  <si>
    <t>Порт Морсби</t>
  </si>
  <si>
    <t>Сан Хуан</t>
  </si>
  <si>
    <t>Сент Люсия</t>
  </si>
  <si>
    <t>Сен Мартен</t>
  </si>
  <si>
    <t>Сент Винсент и Гренадины</t>
  </si>
  <si>
    <t>Сан Марино</t>
  </si>
  <si>
    <t>Сан Томе и Принсипи</t>
  </si>
  <si>
    <t>Сан Томе</t>
  </si>
  <si>
    <t>Эр Рияд</t>
  </si>
  <si>
    <t>Сьерра Леоне</t>
  </si>
  <si>
    <t>Синт Мартен</t>
  </si>
  <si>
    <t>Шри Ланка</t>
  </si>
  <si>
    <t>Шри Джаяварденепура Котте</t>
  </si>
  <si>
    <t>Порт оф Спейн</t>
  </si>
  <si>
    <t>Кокберн Таун</t>
  </si>
  <si>
    <t>Абу Даби</t>
  </si>
  <si>
    <t>Шарлот Амалия</t>
  </si>
  <si>
    <t>Порт Вила</t>
  </si>
  <si>
    <t>Ramallah</t>
  </si>
  <si>
    <t>Washington DC</t>
  </si>
  <si>
    <t>Curacao</t>
  </si>
  <si>
    <t>Cote d'Ivoire</t>
  </si>
  <si>
    <t>Cocos Islands</t>
  </si>
  <si>
    <t>Porto Novo</t>
  </si>
  <si>
    <t>US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</si>
</sst>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F75C-8881-4271-B525-5A856BCC1CC4}">
  <dimension ref="A1:J230"/>
  <sheetViews>
    <sheetView tabSelected="1" topLeftCell="A147" zoomScale="174" workbookViewId="0">
      <selection activeCell="D156" sqref="D156"/>
    </sheetView>
  </sheetViews>
  <sheetFormatPr defaultRowHeight="15" x14ac:dyDescent="0.25"/>
  <cols>
    <col min="1" max="1" width="33.5703125" customWidth="1"/>
    <col min="2" max="2" width="12.85546875" bestFit="1" customWidth="1"/>
    <col min="3" max="3" width="25.85546875" bestFit="1" customWidth="1"/>
    <col min="4" max="4" width="12.42578125" bestFit="1" customWidth="1"/>
    <col min="5" max="5" width="14" bestFit="1" customWidth="1"/>
    <col min="6" max="6" width="12.7109375" bestFit="1" customWidth="1"/>
    <col min="7" max="7" width="12.7109375" customWidth="1"/>
    <col min="8" max="8" width="14.28515625" style="1" bestFit="1" customWidth="1"/>
  </cols>
  <sheetData>
    <row r="1" spans="1:10" x14ac:dyDescent="0.25">
      <c r="A1" t="s">
        <v>447</v>
      </c>
      <c r="B1" t="s">
        <v>448</v>
      </c>
      <c r="C1" t="s">
        <v>1</v>
      </c>
      <c r="D1" t="s">
        <v>449</v>
      </c>
      <c r="E1" t="s">
        <v>450</v>
      </c>
      <c r="F1" t="s">
        <v>0</v>
      </c>
      <c r="G1" t="s">
        <v>710</v>
      </c>
      <c r="H1" s="1" t="s">
        <v>2</v>
      </c>
      <c r="I1" t="s">
        <v>693</v>
      </c>
      <c r="J1" t="s">
        <v>709</v>
      </c>
    </row>
    <row r="2" spans="1:10" x14ac:dyDescent="0.25">
      <c r="A2" t="s">
        <v>504</v>
      </c>
      <c r="B2" t="s">
        <v>679</v>
      </c>
      <c r="C2" t="s">
        <v>102</v>
      </c>
      <c r="D2" t="s">
        <v>681</v>
      </c>
      <c r="E2" t="s">
        <v>451</v>
      </c>
      <c r="F2" t="s">
        <v>101</v>
      </c>
      <c r="G2" t="str">
        <f>_xlfn.XLOOKUP(F2,Sheet1!D:D,Sheet1!A:A)</f>
        <v>Europe</v>
      </c>
      <c r="H2" s="1">
        <v>9251</v>
      </c>
      <c r="I2" t="s">
        <v>694</v>
      </c>
      <c r="J2" t="str">
        <f t="shared" ref="J2:J65" si="0">"&lt;img src=""https://flagcdn.com/w40/" &amp; LOWER(F2) &amp; ".png"" alt=""" &amp; A2 &amp; " flag""&gt;"</f>
        <v>&lt;img src="https://flagcdn.com/w40/cy.png" alt="Cyprus flag"&gt;</v>
      </c>
    </row>
    <row r="3" spans="1:10" x14ac:dyDescent="0.25">
      <c r="A3" t="s">
        <v>535</v>
      </c>
      <c r="B3" t="s">
        <v>678</v>
      </c>
      <c r="C3" t="s">
        <v>176</v>
      </c>
      <c r="D3" t="s">
        <v>678</v>
      </c>
      <c r="E3" t="s">
        <v>451</v>
      </c>
      <c r="F3" t="s">
        <v>175</v>
      </c>
      <c r="G3" t="str">
        <f>_xlfn.XLOOKUP(F3,Sheet1!D:D,Sheet1!A:A)</f>
        <v>South America</v>
      </c>
      <c r="H3" s="1">
        <v>214969</v>
      </c>
      <c r="I3" t="s">
        <v>694</v>
      </c>
      <c r="J3" t="str">
        <f t="shared" si="0"/>
        <v>&lt;img src="https://flagcdn.com/w40/gy.png" alt="Guyana flag"&gt;</v>
      </c>
    </row>
    <row r="4" spans="1:10" x14ac:dyDescent="0.25">
      <c r="A4" t="s">
        <v>548</v>
      </c>
      <c r="B4" t="s">
        <v>691</v>
      </c>
      <c r="C4" t="s">
        <v>204</v>
      </c>
      <c r="D4" t="s">
        <v>670</v>
      </c>
      <c r="E4" t="s">
        <v>451</v>
      </c>
      <c r="F4" t="s">
        <v>203</v>
      </c>
      <c r="G4" t="str">
        <f>_xlfn.XLOOKUP(F4,Sheet1!D:D,Sheet1!A:A)</f>
        <v>North America</v>
      </c>
      <c r="H4" s="1">
        <v>10991</v>
      </c>
      <c r="I4" t="s">
        <v>694</v>
      </c>
      <c r="J4" t="str">
        <f t="shared" si="0"/>
        <v>&lt;img src="https://flagcdn.com/w40/jm.png" alt="Jamaica flag"&gt;</v>
      </c>
    </row>
    <row r="5" spans="1:10" x14ac:dyDescent="0.25">
      <c r="A5" t="s">
        <v>452</v>
      </c>
      <c r="B5" t="s">
        <v>668</v>
      </c>
      <c r="C5" t="s">
        <v>8</v>
      </c>
      <c r="D5" t="s">
        <v>670</v>
      </c>
      <c r="E5" t="s">
        <v>451</v>
      </c>
      <c r="F5" t="s">
        <v>7</v>
      </c>
      <c r="G5" t="str">
        <f>_xlfn.XLOOKUP(F5,Sheet1!D:D,Sheet1!A:A)</f>
        <v>Asia</v>
      </c>
      <c r="H5" s="1">
        <v>652230</v>
      </c>
      <c r="I5" t="s">
        <v>694</v>
      </c>
      <c r="J5" t="str">
        <f t="shared" si="0"/>
        <v>&lt;img src="https://flagcdn.com/w40/af.png" alt="Afghanistan flag"&gt;</v>
      </c>
    </row>
    <row r="6" spans="1:10" x14ac:dyDescent="0.25">
      <c r="A6" t="s">
        <v>453</v>
      </c>
      <c r="B6" t="s">
        <v>668</v>
      </c>
      <c r="C6" t="s">
        <v>14</v>
      </c>
      <c r="D6" t="s">
        <v>672</v>
      </c>
      <c r="E6" t="s">
        <v>451</v>
      </c>
      <c r="F6" t="s">
        <v>13</v>
      </c>
      <c r="G6" t="str">
        <f>_xlfn.XLOOKUP(F6,Sheet1!D:D,Sheet1!A:A)</f>
        <v>Europe</v>
      </c>
      <c r="H6" s="1">
        <v>28748</v>
      </c>
      <c r="I6" t="s">
        <v>694</v>
      </c>
      <c r="J6" t="str">
        <f t="shared" si="0"/>
        <v>&lt;img src="https://flagcdn.com/w40/al.png" alt="Albania flag"&gt;</v>
      </c>
    </row>
    <row r="7" spans="1:10" x14ac:dyDescent="0.25">
      <c r="A7" t="s">
        <v>454</v>
      </c>
      <c r="B7" t="s">
        <v>668</v>
      </c>
      <c r="C7" t="s">
        <v>116</v>
      </c>
      <c r="D7" t="s">
        <v>668</v>
      </c>
      <c r="E7" t="s">
        <v>451</v>
      </c>
      <c r="F7" t="s">
        <v>115</v>
      </c>
      <c r="G7" t="str">
        <f>_xlfn.XLOOKUP(F7,Sheet1!D:D,Sheet1!A:A)</f>
        <v>Africa</v>
      </c>
      <c r="H7" s="1">
        <v>2381741</v>
      </c>
      <c r="I7" t="s">
        <v>694</v>
      </c>
      <c r="J7" t="str">
        <f t="shared" si="0"/>
        <v>&lt;img src="https://flagcdn.com/w40/dz.png" alt="Algeria flag"&gt;</v>
      </c>
    </row>
    <row r="8" spans="1:10" x14ac:dyDescent="0.25">
      <c r="A8" t="s">
        <v>455</v>
      </c>
      <c r="B8" t="s">
        <v>668</v>
      </c>
      <c r="C8" t="s">
        <v>22</v>
      </c>
      <c r="D8" t="s">
        <v>673</v>
      </c>
      <c r="E8" t="s">
        <v>451</v>
      </c>
      <c r="F8" t="s">
        <v>21</v>
      </c>
      <c r="G8" t="str">
        <f>_xlfn.XLOOKUP(F8,Sheet1!D:D,Sheet1!A:A)</f>
        <v>Oceania</v>
      </c>
      <c r="H8" s="1">
        <v>199</v>
      </c>
      <c r="I8" t="s">
        <v>695</v>
      </c>
      <c r="J8" t="str">
        <f t="shared" si="0"/>
        <v>&lt;img src="https://flagcdn.com/w40/as.png" alt="American Samoa flag"&gt;</v>
      </c>
    </row>
    <row r="9" spans="1:10" x14ac:dyDescent="0.25">
      <c r="A9" t="s">
        <v>456</v>
      </c>
      <c r="B9" t="s">
        <v>668</v>
      </c>
      <c r="C9" t="s">
        <v>4</v>
      </c>
      <c r="D9" t="s">
        <v>668</v>
      </c>
      <c r="E9" t="s">
        <v>451</v>
      </c>
      <c r="F9" t="s">
        <v>3</v>
      </c>
      <c r="G9" t="str">
        <f>_xlfn.XLOOKUP(F9,Sheet1!D:D,Sheet1!A:A)</f>
        <v>Europe</v>
      </c>
      <c r="H9" s="1">
        <v>468</v>
      </c>
      <c r="I9" t="s">
        <v>694</v>
      </c>
      <c r="J9" t="str">
        <f t="shared" si="0"/>
        <v>&lt;img src="https://flagcdn.com/w40/ad.png" alt="Andorra flag"&gt;</v>
      </c>
    </row>
    <row r="10" spans="1:10" x14ac:dyDescent="0.25">
      <c r="A10" t="s">
        <v>457</v>
      </c>
      <c r="B10" t="s">
        <v>668</v>
      </c>
      <c r="C10" t="s">
        <v>18</v>
      </c>
      <c r="D10" t="s">
        <v>674</v>
      </c>
      <c r="E10" t="s">
        <v>451</v>
      </c>
      <c r="F10" t="s">
        <v>17</v>
      </c>
      <c r="G10" t="str">
        <f>_xlfn.XLOOKUP(F10,Sheet1!D:D,Sheet1!A:A)</f>
        <v>Africa</v>
      </c>
      <c r="H10" s="1">
        <v>1246700</v>
      </c>
      <c r="I10" t="s">
        <v>694</v>
      </c>
      <c r="J10" t="str">
        <f t="shared" si="0"/>
        <v>&lt;img src="https://flagcdn.com/w40/ao.png" alt="Angola flag"&gt;</v>
      </c>
    </row>
    <row r="11" spans="1:10" x14ac:dyDescent="0.25">
      <c r="A11" t="s">
        <v>458</v>
      </c>
      <c r="B11" t="s">
        <v>668</v>
      </c>
      <c r="C11" t="s">
        <v>12</v>
      </c>
      <c r="D11" t="s">
        <v>672</v>
      </c>
      <c r="E11" t="s">
        <v>451</v>
      </c>
      <c r="F11" t="s">
        <v>11</v>
      </c>
      <c r="G11" t="str">
        <f>_xlfn.XLOOKUP(F11,Sheet1!D:D,Sheet1!A:A)</f>
        <v>North America</v>
      </c>
      <c r="H11" s="1">
        <v>91</v>
      </c>
      <c r="I11" t="s">
        <v>695</v>
      </c>
      <c r="J11" t="str">
        <f t="shared" si="0"/>
        <v>&lt;img src="https://flagcdn.com/w40/ai.png" alt="Anguilla flag"&gt;</v>
      </c>
    </row>
    <row r="12" spans="1:10" x14ac:dyDescent="0.25">
      <c r="A12" t="s">
        <v>459</v>
      </c>
      <c r="B12" t="s">
        <v>668</v>
      </c>
      <c r="C12" t="s">
        <v>10</v>
      </c>
      <c r="D12" t="s">
        <v>669</v>
      </c>
      <c r="E12" t="s">
        <v>451</v>
      </c>
      <c r="F12" t="s">
        <v>9</v>
      </c>
      <c r="G12" t="str">
        <f>_xlfn.XLOOKUP(F12,Sheet1!D:D,Sheet1!A:A)</f>
        <v>North America</v>
      </c>
      <c r="H12" s="1">
        <v>442</v>
      </c>
      <c r="I12" t="s">
        <v>694</v>
      </c>
      <c r="J12" t="str">
        <f t="shared" si="0"/>
        <v>&lt;img src="https://flagcdn.com/w40/ag.png" alt="Antigua and Barbuda flag"&gt;</v>
      </c>
    </row>
    <row r="13" spans="1:10" x14ac:dyDescent="0.25">
      <c r="A13" t="s">
        <v>460</v>
      </c>
      <c r="B13" t="s">
        <v>668</v>
      </c>
      <c r="C13" t="s">
        <v>20</v>
      </c>
      <c r="D13" t="s">
        <v>675</v>
      </c>
      <c r="E13" t="s">
        <v>451</v>
      </c>
      <c r="F13" t="s">
        <v>19</v>
      </c>
      <c r="G13" t="str">
        <f>_xlfn.XLOOKUP(F13,Sheet1!D:D,Sheet1!A:A)</f>
        <v>South America</v>
      </c>
      <c r="H13" s="1">
        <v>2780400</v>
      </c>
      <c r="I13" t="s">
        <v>694</v>
      </c>
      <c r="J13" t="str">
        <f t="shared" si="0"/>
        <v>&lt;img src="https://flagcdn.com/w40/ar.png" alt="Argentina flag"&gt;</v>
      </c>
    </row>
    <row r="14" spans="1:10" x14ac:dyDescent="0.25">
      <c r="A14" t="s">
        <v>461</v>
      </c>
      <c r="B14" t="s">
        <v>668</v>
      </c>
      <c r="C14" t="s">
        <v>16</v>
      </c>
      <c r="D14" t="s">
        <v>676</v>
      </c>
      <c r="E14" t="s">
        <v>451</v>
      </c>
      <c r="F14" t="s">
        <v>15</v>
      </c>
      <c r="G14" t="str">
        <f>_xlfn.XLOOKUP(F14,Sheet1!D:D,Sheet1!A:A)</f>
        <v>Europe</v>
      </c>
      <c r="H14" s="1">
        <v>29743</v>
      </c>
      <c r="I14" t="s">
        <v>694</v>
      </c>
      <c r="J14" t="str">
        <f t="shared" si="0"/>
        <v>&lt;img src="https://flagcdn.com/w40/am.png" alt="Armenia flag"&gt;</v>
      </c>
    </row>
    <row r="15" spans="1:10" x14ac:dyDescent="0.25">
      <c r="A15" t="s">
        <v>462</v>
      </c>
      <c r="B15" t="s">
        <v>668</v>
      </c>
      <c r="C15" t="s">
        <v>28</v>
      </c>
      <c r="D15" t="s">
        <v>677</v>
      </c>
      <c r="E15" t="s">
        <v>451</v>
      </c>
      <c r="F15" t="s">
        <v>27</v>
      </c>
      <c r="G15" t="str">
        <f>_xlfn.XLOOKUP(F15,Sheet1!D:D,Sheet1!A:A)</f>
        <v>North America</v>
      </c>
      <c r="H15" s="1">
        <v>180</v>
      </c>
      <c r="I15" t="s">
        <v>695</v>
      </c>
      <c r="J15" t="str">
        <f t="shared" si="0"/>
        <v>&lt;img src="https://flagcdn.com/w40/aw.png" alt="Aruba flag"&gt;</v>
      </c>
    </row>
    <row r="16" spans="1:10" x14ac:dyDescent="0.25">
      <c r="A16" t="s">
        <v>463</v>
      </c>
      <c r="B16" t="s">
        <v>668</v>
      </c>
      <c r="C16" t="s">
        <v>26</v>
      </c>
      <c r="D16" t="s">
        <v>679</v>
      </c>
      <c r="E16" t="s">
        <v>451</v>
      </c>
      <c r="F16" t="s">
        <v>25</v>
      </c>
      <c r="G16" t="str">
        <f>_xlfn.XLOOKUP(F16,Sheet1!D:D,Sheet1!A:A)</f>
        <v>Oceania</v>
      </c>
      <c r="H16" s="1">
        <v>7741220</v>
      </c>
      <c r="I16" t="s">
        <v>694</v>
      </c>
      <c r="J16" t="str">
        <f t="shared" si="0"/>
        <v>&lt;img src="https://flagcdn.com/w40/au.png" alt="Australia flag"&gt;</v>
      </c>
    </row>
    <row r="17" spans="1:10" x14ac:dyDescent="0.25">
      <c r="A17" t="s">
        <v>464</v>
      </c>
      <c r="B17" t="s">
        <v>668</v>
      </c>
      <c r="C17" t="s">
        <v>24</v>
      </c>
      <c r="D17" t="s">
        <v>680</v>
      </c>
      <c r="E17" t="s">
        <v>451</v>
      </c>
      <c r="F17" t="s">
        <v>23</v>
      </c>
      <c r="G17" t="str">
        <f>_xlfn.XLOOKUP(F17,Sheet1!D:D,Sheet1!A:A)</f>
        <v>Europe</v>
      </c>
      <c r="H17" s="1">
        <v>83871</v>
      </c>
      <c r="I17" t="s">
        <v>694</v>
      </c>
      <c r="J17" t="str">
        <f t="shared" si="0"/>
        <v>&lt;img src="https://flagcdn.com/w40/at.png" alt="Austria flag"&gt;</v>
      </c>
    </row>
    <row r="18" spans="1:10" x14ac:dyDescent="0.25">
      <c r="A18" t="s">
        <v>465</v>
      </c>
      <c r="B18" t="s">
        <v>668</v>
      </c>
      <c r="C18" t="s">
        <v>30</v>
      </c>
      <c r="D18" t="s">
        <v>675</v>
      </c>
      <c r="E18" t="s">
        <v>451</v>
      </c>
      <c r="F18" t="s">
        <v>29</v>
      </c>
      <c r="G18" t="str">
        <f>_xlfn.XLOOKUP(F18,Sheet1!D:D,Sheet1!A:A)</f>
        <v>Europe</v>
      </c>
      <c r="H18" s="1">
        <v>86600</v>
      </c>
      <c r="I18" t="s">
        <v>694</v>
      </c>
      <c r="J18" t="str">
        <f t="shared" si="0"/>
        <v>&lt;img src="https://flagcdn.com/w40/az.png" alt="Azerbaijan flag"&gt;</v>
      </c>
    </row>
    <row r="19" spans="1:10" x14ac:dyDescent="0.25">
      <c r="A19" t="s">
        <v>466</v>
      </c>
      <c r="B19" t="s">
        <v>675</v>
      </c>
      <c r="C19" t="s">
        <v>58</v>
      </c>
      <c r="D19" t="s">
        <v>681</v>
      </c>
      <c r="E19" t="s">
        <v>451</v>
      </c>
      <c r="F19" t="s">
        <v>57</v>
      </c>
      <c r="G19" t="str">
        <f>_xlfn.XLOOKUP(F19,Sheet1!D:D,Sheet1!A:A)</f>
        <v>North America</v>
      </c>
      <c r="H19" s="1">
        <v>13880</v>
      </c>
      <c r="I19" t="s">
        <v>694</v>
      </c>
      <c r="J19" t="str">
        <f t="shared" si="0"/>
        <v>&lt;img src="https://flagcdn.com/w40/bs.png" alt="Bahamas flag"&gt;</v>
      </c>
    </row>
    <row r="20" spans="1:10" x14ac:dyDescent="0.25">
      <c r="A20" t="s">
        <v>467</v>
      </c>
      <c r="B20" t="s">
        <v>675</v>
      </c>
      <c r="C20" t="s">
        <v>44</v>
      </c>
      <c r="D20" t="s">
        <v>682</v>
      </c>
      <c r="E20" t="s">
        <v>451</v>
      </c>
      <c r="F20" t="s">
        <v>43</v>
      </c>
      <c r="G20" t="str">
        <f>_xlfn.XLOOKUP(F20,Sheet1!D:D,Sheet1!A:A)</f>
        <v>Asia</v>
      </c>
      <c r="H20" s="1">
        <v>760</v>
      </c>
      <c r="I20" t="s">
        <v>694</v>
      </c>
      <c r="J20" t="str">
        <f t="shared" si="0"/>
        <v>&lt;img src="https://flagcdn.com/w40/bh.png" alt="Bahrain flag"&gt;</v>
      </c>
    </row>
    <row r="21" spans="1:10" x14ac:dyDescent="0.25">
      <c r="A21" t="s">
        <v>468</v>
      </c>
      <c r="B21" t="s">
        <v>675</v>
      </c>
      <c r="C21" t="s">
        <v>36</v>
      </c>
      <c r="D21" t="s">
        <v>683</v>
      </c>
      <c r="E21" t="s">
        <v>451</v>
      </c>
      <c r="F21" t="s">
        <v>35</v>
      </c>
      <c r="G21" t="str">
        <f>_xlfn.XLOOKUP(F21,Sheet1!D:D,Sheet1!A:A)</f>
        <v>Asia</v>
      </c>
      <c r="H21" s="1">
        <v>143998</v>
      </c>
      <c r="I21" t="s">
        <v>694</v>
      </c>
      <c r="J21" t="str">
        <f t="shared" si="0"/>
        <v>&lt;img src="https://flagcdn.com/w40/bd.png" alt="Bangladesh flag"&gt;</v>
      </c>
    </row>
    <row r="22" spans="1:10" x14ac:dyDescent="0.25">
      <c r="A22" t="s">
        <v>469</v>
      </c>
      <c r="B22" t="s">
        <v>675</v>
      </c>
      <c r="C22" t="s">
        <v>34</v>
      </c>
      <c r="D22" t="s">
        <v>675</v>
      </c>
      <c r="E22" t="s">
        <v>451</v>
      </c>
      <c r="F22" t="s">
        <v>33</v>
      </c>
      <c r="G22" t="str">
        <f>_xlfn.XLOOKUP(F22,Sheet1!D:D,Sheet1!A:A)</f>
        <v>North America</v>
      </c>
      <c r="H22" s="1">
        <v>430</v>
      </c>
      <c r="I22" t="s">
        <v>694</v>
      </c>
      <c r="J22" t="str">
        <f t="shared" si="0"/>
        <v>&lt;img src="https://flagcdn.com/w40/bb.png" alt="Barbados flag"&gt;</v>
      </c>
    </row>
    <row r="23" spans="1:10" x14ac:dyDescent="0.25">
      <c r="A23" t="s">
        <v>470</v>
      </c>
      <c r="B23" t="s">
        <v>675</v>
      </c>
      <c r="C23" t="s">
        <v>64</v>
      </c>
      <c r="D23" t="s">
        <v>682</v>
      </c>
      <c r="E23" t="s">
        <v>451</v>
      </c>
      <c r="F23" t="s">
        <v>63</v>
      </c>
      <c r="G23" t="str">
        <f>_xlfn.XLOOKUP(F23,Sheet1!D:D,Sheet1!A:A)</f>
        <v>Europe</v>
      </c>
      <c r="H23" s="1">
        <v>207600</v>
      </c>
      <c r="I23" t="s">
        <v>694</v>
      </c>
      <c r="J23" t="str">
        <f t="shared" si="0"/>
        <v>&lt;img src="https://flagcdn.com/w40/by.png" alt="Belarus flag"&gt;</v>
      </c>
    </row>
    <row r="24" spans="1:10" x14ac:dyDescent="0.25">
      <c r="A24" t="s">
        <v>471</v>
      </c>
      <c r="B24" t="s">
        <v>675</v>
      </c>
      <c r="C24" t="s">
        <v>38</v>
      </c>
      <c r="D24" t="s">
        <v>675</v>
      </c>
      <c r="E24" t="s">
        <v>451</v>
      </c>
      <c r="F24" t="s">
        <v>37</v>
      </c>
      <c r="G24" t="str">
        <f>_xlfn.XLOOKUP(F24,Sheet1!D:D,Sheet1!A:A)</f>
        <v>Europe</v>
      </c>
      <c r="H24" s="1">
        <v>30528</v>
      </c>
      <c r="I24" t="s">
        <v>694</v>
      </c>
      <c r="J24" t="str">
        <f t="shared" si="0"/>
        <v>&lt;img src="https://flagcdn.com/w40/be.png" alt="Belgium flag"&gt;</v>
      </c>
    </row>
    <row r="25" spans="1:10" x14ac:dyDescent="0.25">
      <c r="A25" t="s">
        <v>472</v>
      </c>
      <c r="B25" t="s">
        <v>675</v>
      </c>
      <c r="C25" t="s">
        <v>66</v>
      </c>
      <c r="D25" t="s">
        <v>675</v>
      </c>
      <c r="E25" t="s">
        <v>451</v>
      </c>
      <c r="F25" t="s">
        <v>65</v>
      </c>
      <c r="G25" t="str">
        <f>_xlfn.XLOOKUP(F25,Sheet1!D:D,Sheet1!A:A)</f>
        <v>North America</v>
      </c>
      <c r="H25" s="1">
        <v>22966</v>
      </c>
      <c r="I25" t="s">
        <v>694</v>
      </c>
      <c r="J25" t="str">
        <f t="shared" si="0"/>
        <v>&lt;img src="https://flagcdn.com/w40/bz.png" alt="Belize flag"&gt;</v>
      </c>
    </row>
    <row r="26" spans="1:10" x14ac:dyDescent="0.25">
      <c r="A26" t="s">
        <v>473</v>
      </c>
      <c r="B26" t="s">
        <v>675</v>
      </c>
      <c r="C26" t="s">
        <v>1662</v>
      </c>
      <c r="D26" t="s">
        <v>673</v>
      </c>
      <c r="E26" t="s">
        <v>451</v>
      </c>
      <c r="F26" t="s">
        <v>46</v>
      </c>
      <c r="G26" t="str">
        <f>_xlfn.XLOOKUP(F26,Sheet1!D:D,Sheet1!A:A)</f>
        <v>Africa</v>
      </c>
      <c r="H26" s="1">
        <v>112622</v>
      </c>
      <c r="I26" t="s">
        <v>694</v>
      </c>
      <c r="J26" t="str">
        <f t="shared" si="0"/>
        <v>&lt;img src="https://flagcdn.com/w40/bj.png" alt="Benin flag"&gt;</v>
      </c>
    </row>
    <row r="27" spans="1:10" x14ac:dyDescent="0.25">
      <c r="A27" t="s">
        <v>474</v>
      </c>
      <c r="B27" t="s">
        <v>675</v>
      </c>
      <c r="C27" t="s">
        <v>50</v>
      </c>
      <c r="D27" t="s">
        <v>684</v>
      </c>
      <c r="E27" t="s">
        <v>451</v>
      </c>
      <c r="F27" t="s">
        <v>49</v>
      </c>
      <c r="G27" t="str">
        <f>_xlfn.XLOOKUP(F27,Sheet1!D:D,Sheet1!A:A)</f>
        <v>North America</v>
      </c>
      <c r="H27" s="1">
        <v>54</v>
      </c>
      <c r="I27" t="s">
        <v>695</v>
      </c>
      <c r="J27" t="str">
        <f t="shared" si="0"/>
        <v>&lt;img src="https://flagcdn.com/w40/bm.png" alt="Bermuda flag"&gt;</v>
      </c>
    </row>
    <row r="28" spans="1:10" x14ac:dyDescent="0.25">
      <c r="A28" t="s">
        <v>475</v>
      </c>
      <c r="B28" t="s">
        <v>675</v>
      </c>
      <c r="C28" t="s">
        <v>60</v>
      </c>
      <c r="D28" t="s">
        <v>672</v>
      </c>
      <c r="E28" t="s">
        <v>451</v>
      </c>
      <c r="F28" t="s">
        <v>59</v>
      </c>
      <c r="G28" t="str">
        <f>_xlfn.XLOOKUP(F28,Sheet1!D:D,Sheet1!A:A)</f>
        <v>Asia</v>
      </c>
      <c r="H28" s="1">
        <v>38394</v>
      </c>
      <c r="I28" t="s">
        <v>694</v>
      </c>
      <c r="J28" t="str">
        <f t="shared" si="0"/>
        <v>&lt;img src="https://flagcdn.com/w40/bt.png" alt="Bhutan flag"&gt;</v>
      </c>
    </row>
    <row r="29" spans="1:10" x14ac:dyDescent="0.25">
      <c r="A29" t="s">
        <v>476</v>
      </c>
      <c r="B29" t="s">
        <v>675</v>
      </c>
      <c r="C29" t="s">
        <v>54</v>
      </c>
      <c r="D29" t="s">
        <v>669</v>
      </c>
      <c r="E29" t="s">
        <v>451</v>
      </c>
      <c r="F29" t="s">
        <v>53</v>
      </c>
      <c r="G29" t="str">
        <f>_xlfn.XLOOKUP(F29,Sheet1!D:D,Sheet1!A:A)</f>
        <v>South America</v>
      </c>
      <c r="H29" s="1">
        <v>1098581</v>
      </c>
      <c r="I29" t="s">
        <v>694</v>
      </c>
      <c r="J29" t="str">
        <f t="shared" si="0"/>
        <v>&lt;img src="https://flagcdn.com/w40/bo.png" alt="Bolivia flag"&gt;</v>
      </c>
    </row>
    <row r="30" spans="1:10" x14ac:dyDescent="0.25">
      <c r="A30" t="s">
        <v>477</v>
      </c>
      <c r="B30" t="s">
        <v>675</v>
      </c>
      <c r="C30" t="s">
        <v>32</v>
      </c>
      <c r="D30" t="s">
        <v>669</v>
      </c>
      <c r="E30" t="s">
        <v>451</v>
      </c>
      <c r="F30" t="s">
        <v>31</v>
      </c>
      <c r="G30" t="str">
        <f>_xlfn.XLOOKUP(F30,Sheet1!D:D,Sheet1!A:A)</f>
        <v>Europe</v>
      </c>
      <c r="H30" s="1">
        <v>51197</v>
      </c>
      <c r="I30" t="s">
        <v>694</v>
      </c>
      <c r="J30" t="str">
        <f t="shared" si="0"/>
        <v>&lt;img src="https://flagcdn.com/w40/ba.png" alt="Bosnia and Herzegovina flag"&gt;</v>
      </c>
    </row>
    <row r="31" spans="1:10" x14ac:dyDescent="0.25">
      <c r="A31" t="s">
        <v>478</v>
      </c>
      <c r="B31" t="s">
        <v>675</v>
      </c>
      <c r="C31" t="s">
        <v>62</v>
      </c>
      <c r="D31" t="s">
        <v>678</v>
      </c>
      <c r="E31" t="s">
        <v>451</v>
      </c>
      <c r="F31" t="s">
        <v>61</v>
      </c>
      <c r="G31" t="str">
        <f>_xlfn.XLOOKUP(F31,Sheet1!D:D,Sheet1!A:A)</f>
        <v>Africa</v>
      </c>
      <c r="H31" s="1">
        <v>581730</v>
      </c>
      <c r="I31" t="s">
        <v>694</v>
      </c>
      <c r="J31" t="str">
        <f t="shared" si="0"/>
        <v>&lt;img src="https://flagcdn.com/w40/bw.png" alt="Botswana flag"&gt;</v>
      </c>
    </row>
    <row r="32" spans="1:10" x14ac:dyDescent="0.25">
      <c r="A32" t="s">
        <v>479</v>
      </c>
      <c r="B32" t="s">
        <v>675</v>
      </c>
      <c r="C32" t="s">
        <v>56</v>
      </c>
      <c r="D32" t="s">
        <v>675</v>
      </c>
      <c r="E32" t="s">
        <v>451</v>
      </c>
      <c r="F32" t="s">
        <v>55</v>
      </c>
      <c r="G32" t="str">
        <f>_xlfn.XLOOKUP(F32,Sheet1!D:D,Sheet1!A:A)</f>
        <v>South America</v>
      </c>
      <c r="H32" s="1">
        <v>8514877</v>
      </c>
      <c r="I32" t="s">
        <v>694</v>
      </c>
      <c r="J32" t="str">
        <f t="shared" si="0"/>
        <v>&lt;img src="https://flagcdn.com/w40/br.png" alt="Brazil flag"&gt;</v>
      </c>
    </row>
    <row r="33" spans="1:10" x14ac:dyDescent="0.25">
      <c r="A33" t="s">
        <v>480</v>
      </c>
      <c r="B33" t="s">
        <v>675</v>
      </c>
      <c r="C33" t="s">
        <v>433</v>
      </c>
      <c r="D33" t="s">
        <v>685</v>
      </c>
      <c r="E33" t="s">
        <v>451</v>
      </c>
      <c r="F33" t="s">
        <v>432</v>
      </c>
      <c r="G33" t="str">
        <f>_xlfn.XLOOKUP(F33,Sheet1!D:D,Sheet1!A:A)</f>
        <v>North America</v>
      </c>
      <c r="H33" s="1">
        <v>151</v>
      </c>
      <c r="I33" t="s">
        <v>695</v>
      </c>
      <c r="J33" t="str">
        <f t="shared" si="0"/>
        <v>&lt;img src="https://flagcdn.com/w40/vg.png" alt="British Virgin Islands flag"&gt;</v>
      </c>
    </row>
    <row r="34" spans="1:10" x14ac:dyDescent="0.25">
      <c r="A34" t="s">
        <v>481</v>
      </c>
      <c r="B34" t="s">
        <v>675</v>
      </c>
      <c r="C34" t="s">
        <v>52</v>
      </c>
      <c r="D34" t="s">
        <v>675</v>
      </c>
      <c r="E34" t="s">
        <v>451</v>
      </c>
      <c r="F34" t="s">
        <v>51</v>
      </c>
      <c r="G34" t="str">
        <f>_xlfn.XLOOKUP(F34,Sheet1!D:D,Sheet1!A:A)</f>
        <v>Asia</v>
      </c>
      <c r="H34" s="1">
        <v>5765</v>
      </c>
      <c r="I34" t="s">
        <v>694</v>
      </c>
      <c r="J34" t="str">
        <f t="shared" si="0"/>
        <v>&lt;img src="https://flagcdn.com/w40/bn.png" alt="Brunei flag"&gt;</v>
      </c>
    </row>
    <row r="35" spans="1:10" x14ac:dyDescent="0.25">
      <c r="A35" t="s">
        <v>482</v>
      </c>
      <c r="B35" t="s">
        <v>675</v>
      </c>
      <c r="C35" t="s">
        <v>42</v>
      </c>
      <c r="D35" t="s">
        <v>669</v>
      </c>
      <c r="E35" t="s">
        <v>451</v>
      </c>
      <c r="F35" t="s">
        <v>41</v>
      </c>
      <c r="G35" t="str">
        <f>_xlfn.XLOOKUP(F35,Sheet1!D:D,Sheet1!A:A)</f>
        <v>Europe</v>
      </c>
      <c r="H35" s="1">
        <v>110879</v>
      </c>
      <c r="I35" t="s">
        <v>694</v>
      </c>
      <c r="J35" t="str">
        <f t="shared" si="0"/>
        <v>&lt;img src="https://flagcdn.com/w40/bg.png" alt="Bulgaria flag"&gt;</v>
      </c>
    </row>
    <row r="36" spans="1:10" x14ac:dyDescent="0.25">
      <c r="A36" t="s">
        <v>483</v>
      </c>
      <c r="B36" t="s">
        <v>675</v>
      </c>
      <c r="C36" t="s">
        <v>40</v>
      </c>
      <c r="D36" t="s">
        <v>677</v>
      </c>
      <c r="E36" t="s">
        <v>451</v>
      </c>
      <c r="F36" t="s">
        <v>39</v>
      </c>
      <c r="G36" t="str">
        <f>_xlfn.XLOOKUP(F36,Sheet1!D:D,Sheet1!A:A)</f>
        <v>Africa</v>
      </c>
      <c r="H36" s="1">
        <v>274200</v>
      </c>
      <c r="I36" t="s">
        <v>694</v>
      </c>
      <c r="J36" t="str">
        <f t="shared" si="0"/>
        <v>&lt;img src="https://flagcdn.com/w40/bf.png" alt="Burkina Faso flag"&gt;</v>
      </c>
    </row>
    <row r="37" spans="1:10" x14ac:dyDescent="0.25">
      <c r="A37" t="s">
        <v>484</v>
      </c>
      <c r="B37" t="s">
        <v>675</v>
      </c>
      <c r="C37" t="s">
        <v>704</v>
      </c>
      <c r="D37" t="s">
        <v>678</v>
      </c>
      <c r="E37" t="s">
        <v>451</v>
      </c>
      <c r="F37" t="s">
        <v>45</v>
      </c>
      <c r="G37" t="str">
        <f>_xlfn.XLOOKUP(F37,Sheet1!D:D,Sheet1!A:A)</f>
        <v>Africa</v>
      </c>
      <c r="H37" s="1">
        <v>27830</v>
      </c>
      <c r="I37" t="s">
        <v>694</v>
      </c>
      <c r="J37" t="str">
        <f t="shared" si="0"/>
        <v>&lt;img src="https://flagcdn.com/w40/bi.png" alt="Burundi flag"&gt;</v>
      </c>
    </row>
    <row r="38" spans="1:10" x14ac:dyDescent="0.25">
      <c r="A38" t="s">
        <v>485</v>
      </c>
      <c r="B38" t="s">
        <v>679</v>
      </c>
      <c r="C38" t="s">
        <v>214</v>
      </c>
      <c r="D38" t="s">
        <v>673</v>
      </c>
      <c r="E38" t="s">
        <v>451</v>
      </c>
      <c r="F38" t="s">
        <v>213</v>
      </c>
      <c r="G38" t="str">
        <f>_xlfn.XLOOKUP(F38,Sheet1!D:D,Sheet1!A:A)</f>
        <v>Asia</v>
      </c>
      <c r="H38" s="1">
        <v>181035</v>
      </c>
      <c r="I38" t="s">
        <v>694</v>
      </c>
      <c r="J38" t="str">
        <f t="shared" si="0"/>
        <v>&lt;img src="https://flagcdn.com/w40/kh.png" alt="Cambodia flag"&gt;</v>
      </c>
    </row>
    <row r="39" spans="1:10" x14ac:dyDescent="0.25">
      <c r="A39" t="s">
        <v>486</v>
      </c>
      <c r="B39" t="s">
        <v>679</v>
      </c>
      <c r="C39" t="s">
        <v>86</v>
      </c>
      <c r="D39" t="s">
        <v>676</v>
      </c>
      <c r="E39" t="s">
        <v>451</v>
      </c>
      <c r="F39" t="s">
        <v>85</v>
      </c>
      <c r="G39" t="str">
        <f>_xlfn.XLOOKUP(F39,Sheet1!D:D,Sheet1!A:A)</f>
        <v>Africa</v>
      </c>
      <c r="H39" s="1">
        <v>475440</v>
      </c>
      <c r="I39" t="s">
        <v>694</v>
      </c>
      <c r="J39" t="str">
        <f t="shared" si="0"/>
        <v>&lt;img src="https://flagcdn.com/w40/cm.png" alt="Cameroon flag"&gt;</v>
      </c>
    </row>
    <row r="40" spans="1:10" x14ac:dyDescent="0.25">
      <c r="A40" t="s">
        <v>487</v>
      </c>
      <c r="B40" t="s">
        <v>679</v>
      </c>
      <c r="C40" t="s">
        <v>68</v>
      </c>
      <c r="D40" t="s">
        <v>677</v>
      </c>
      <c r="E40" t="s">
        <v>451</v>
      </c>
      <c r="F40" t="s">
        <v>67</v>
      </c>
      <c r="G40" t="str">
        <f>_xlfn.XLOOKUP(F40,Sheet1!D:D,Sheet1!A:A)</f>
        <v>North America</v>
      </c>
      <c r="H40" s="1">
        <v>9984670</v>
      </c>
      <c r="I40" t="s">
        <v>694</v>
      </c>
      <c r="J40" t="str">
        <f t="shared" si="0"/>
        <v>&lt;img src="https://flagcdn.com/w40/ca.png" alt="Canada flag"&gt;</v>
      </c>
    </row>
    <row r="41" spans="1:10" x14ac:dyDescent="0.25">
      <c r="A41" t="s">
        <v>488</v>
      </c>
      <c r="B41" t="s">
        <v>679</v>
      </c>
      <c r="C41" t="s">
        <v>96</v>
      </c>
      <c r="D41" t="s">
        <v>673</v>
      </c>
      <c r="E41" t="s">
        <v>451</v>
      </c>
      <c r="F41" t="s">
        <v>95</v>
      </c>
      <c r="G41" t="str">
        <f>_xlfn.XLOOKUP(F41,Sheet1!D:D,Sheet1!A:A)</f>
        <v>Africa</v>
      </c>
      <c r="H41" s="1">
        <v>4033</v>
      </c>
      <c r="I41" t="s">
        <v>694</v>
      </c>
      <c r="J41" t="str">
        <f t="shared" si="0"/>
        <v>&lt;img src="https://flagcdn.com/w40/cv.png" alt="Cape Verde flag"&gt;</v>
      </c>
    </row>
    <row r="42" spans="1:10" x14ac:dyDescent="0.25">
      <c r="A42" t="s">
        <v>489</v>
      </c>
      <c r="B42" t="s">
        <v>679</v>
      </c>
      <c r="C42" t="s">
        <v>228</v>
      </c>
      <c r="D42" t="s">
        <v>678</v>
      </c>
      <c r="E42" t="s">
        <v>451</v>
      </c>
      <c r="F42" t="s">
        <v>227</v>
      </c>
      <c r="G42" t="str">
        <f>_xlfn.XLOOKUP(F42,Sheet1!D:D,Sheet1!A:A)</f>
        <v>North America</v>
      </c>
      <c r="H42" s="1">
        <v>264</v>
      </c>
      <c r="I42" t="s">
        <v>695</v>
      </c>
      <c r="J42" t="str">
        <f t="shared" si="0"/>
        <v>&lt;img src="https://flagcdn.com/w40/ky.png" alt="Cayman Islands flag"&gt;</v>
      </c>
    </row>
    <row r="43" spans="1:10" x14ac:dyDescent="0.25">
      <c r="A43" t="s">
        <v>490</v>
      </c>
      <c r="B43" t="s">
        <v>679</v>
      </c>
      <c r="C43" t="s">
        <v>74</v>
      </c>
      <c r="D43" t="s">
        <v>675</v>
      </c>
      <c r="E43" t="s">
        <v>451</v>
      </c>
      <c r="F43" t="s">
        <v>73</v>
      </c>
      <c r="G43" t="str">
        <f>_xlfn.XLOOKUP(F43,Sheet1!D:D,Sheet1!A:A)</f>
        <v>Africa</v>
      </c>
      <c r="H43" s="1">
        <v>622984</v>
      </c>
      <c r="I43" t="s">
        <v>694</v>
      </c>
      <c r="J43" t="str">
        <f t="shared" si="0"/>
        <v>&lt;img src="https://flagcdn.com/w40/cf.png" alt="Central African Republic flag"&gt;</v>
      </c>
    </row>
    <row r="44" spans="1:10" x14ac:dyDescent="0.25">
      <c r="A44" t="s">
        <v>491</v>
      </c>
      <c r="B44" t="s">
        <v>679</v>
      </c>
      <c r="C44" t="s">
        <v>492</v>
      </c>
      <c r="D44" t="s">
        <v>681</v>
      </c>
      <c r="E44" t="s">
        <v>451</v>
      </c>
      <c r="F44" t="s">
        <v>392</v>
      </c>
      <c r="G44" t="str">
        <f>_xlfn.XLOOKUP(F44,Sheet1!D:D,Sheet1!A:A)</f>
        <v>Africa</v>
      </c>
      <c r="H44" s="1">
        <v>1284000</v>
      </c>
      <c r="I44" t="s">
        <v>694</v>
      </c>
      <c r="J44" t="str">
        <f t="shared" si="0"/>
        <v>&lt;img src="https://flagcdn.com/w40/td.png" alt="Chad flag"&gt;</v>
      </c>
    </row>
    <row r="45" spans="1:10" x14ac:dyDescent="0.25">
      <c r="A45" t="s">
        <v>493</v>
      </c>
      <c r="B45" t="s">
        <v>679</v>
      </c>
      <c r="C45" t="s">
        <v>84</v>
      </c>
      <c r="D45" t="s">
        <v>669</v>
      </c>
      <c r="E45" t="s">
        <v>451</v>
      </c>
      <c r="F45" t="s">
        <v>83</v>
      </c>
      <c r="G45" t="str">
        <f>_xlfn.XLOOKUP(F45,Sheet1!D:D,Sheet1!A:A)</f>
        <v>South America</v>
      </c>
      <c r="H45" s="1">
        <v>756102</v>
      </c>
      <c r="I45" t="s">
        <v>694</v>
      </c>
      <c r="J45" t="str">
        <f t="shared" si="0"/>
        <v>&lt;img src="https://flagcdn.com/w40/cl.png" alt="Chile flag"&gt;</v>
      </c>
    </row>
    <row r="46" spans="1:10" x14ac:dyDescent="0.25">
      <c r="A46" t="s">
        <v>494</v>
      </c>
      <c r="B46" t="s">
        <v>679</v>
      </c>
      <c r="C46" t="s">
        <v>88</v>
      </c>
      <c r="D46" t="s">
        <v>675</v>
      </c>
      <c r="E46" t="s">
        <v>451</v>
      </c>
      <c r="F46" t="s">
        <v>87</v>
      </c>
      <c r="G46" t="str">
        <f>_xlfn.XLOOKUP(F46,Sheet1!D:D,Sheet1!A:A)</f>
        <v>Asia</v>
      </c>
      <c r="H46" s="1">
        <v>9596961</v>
      </c>
      <c r="I46" t="s">
        <v>694</v>
      </c>
      <c r="J46" t="str">
        <f t="shared" si="0"/>
        <v>&lt;img src="https://flagcdn.com/w40/cn.png" alt="China flag"&gt;</v>
      </c>
    </row>
    <row r="47" spans="1:10" x14ac:dyDescent="0.25">
      <c r="A47" t="s">
        <v>495</v>
      </c>
      <c r="B47" t="s">
        <v>679</v>
      </c>
      <c r="C47" t="s">
        <v>100</v>
      </c>
      <c r="D47" t="s">
        <v>686</v>
      </c>
      <c r="E47" t="s">
        <v>451</v>
      </c>
      <c r="F47" t="s">
        <v>99</v>
      </c>
      <c r="G47" t="str">
        <f>_xlfn.XLOOKUP(F47,Sheet1!D:D,Sheet1!A:A)</f>
        <v>Asia</v>
      </c>
      <c r="H47" s="1">
        <v>135</v>
      </c>
      <c r="I47" t="s">
        <v>695</v>
      </c>
      <c r="J47" t="str">
        <f t="shared" si="0"/>
        <v>&lt;img src="https://flagcdn.com/w40/cx.png" alt="Christmas Island flag"&gt;</v>
      </c>
    </row>
    <row r="48" spans="1:10" x14ac:dyDescent="0.25">
      <c r="A48" t="s">
        <v>1661</v>
      </c>
      <c r="B48" t="s">
        <v>679</v>
      </c>
      <c r="C48" t="s">
        <v>70</v>
      </c>
      <c r="D48" t="s">
        <v>687</v>
      </c>
      <c r="E48" t="s">
        <v>451</v>
      </c>
      <c r="F48" t="s">
        <v>69</v>
      </c>
      <c r="G48" t="str">
        <f>_xlfn.XLOOKUP(F48,Sheet1!D:D,Sheet1!A:A)</f>
        <v>Asia</v>
      </c>
      <c r="H48" s="1">
        <v>14</v>
      </c>
      <c r="I48" t="s">
        <v>695</v>
      </c>
      <c r="J48" t="str">
        <f t="shared" si="0"/>
        <v>&lt;img src="https://flagcdn.com/w40/cc.png" alt="Cocos Islands flag"&gt;</v>
      </c>
    </row>
    <row r="49" spans="1:10" x14ac:dyDescent="0.25">
      <c r="A49" t="s">
        <v>497</v>
      </c>
      <c r="B49" t="s">
        <v>679</v>
      </c>
      <c r="C49" t="s">
        <v>90</v>
      </c>
      <c r="D49" t="s">
        <v>675</v>
      </c>
      <c r="E49" t="s">
        <v>451</v>
      </c>
      <c r="F49" t="s">
        <v>89</v>
      </c>
      <c r="G49" t="str">
        <f>_xlfn.XLOOKUP(F49,Sheet1!D:D,Sheet1!A:A)</f>
        <v>South America</v>
      </c>
      <c r="H49" s="1">
        <v>1138910</v>
      </c>
      <c r="I49" t="s">
        <v>694</v>
      </c>
      <c r="J49" t="str">
        <f t="shared" si="0"/>
        <v>&lt;img src="https://flagcdn.com/w40/co.png" alt="Colombia flag"&gt;</v>
      </c>
    </row>
    <row r="50" spans="1:10" x14ac:dyDescent="0.25">
      <c r="A50" t="s">
        <v>498</v>
      </c>
      <c r="B50" t="s">
        <v>679</v>
      </c>
      <c r="C50" t="s">
        <v>218</v>
      </c>
      <c r="D50" t="s">
        <v>682</v>
      </c>
      <c r="E50" t="s">
        <v>451</v>
      </c>
      <c r="F50" t="s">
        <v>217</v>
      </c>
      <c r="G50" t="str">
        <f>_xlfn.XLOOKUP(F50,Sheet1!D:D,Sheet1!A:A)</f>
        <v>Africa</v>
      </c>
      <c r="H50" s="1">
        <v>2235</v>
      </c>
      <c r="I50" t="s">
        <v>694</v>
      </c>
      <c r="J50" t="str">
        <f t="shared" si="0"/>
        <v>&lt;img src="https://flagcdn.com/w40/km.png" alt="Comoros flag"&gt;</v>
      </c>
    </row>
    <row r="51" spans="1:10" x14ac:dyDescent="0.25">
      <c r="A51" t="s">
        <v>499</v>
      </c>
      <c r="B51" t="s">
        <v>679</v>
      </c>
      <c r="C51" t="s">
        <v>82</v>
      </c>
      <c r="D51" t="s">
        <v>668</v>
      </c>
      <c r="E51" t="s">
        <v>451</v>
      </c>
      <c r="F51" t="s">
        <v>81</v>
      </c>
      <c r="G51" t="str">
        <f>_xlfn.XLOOKUP(F51,Sheet1!D:D,Sheet1!A:A)</f>
        <v>Oceania</v>
      </c>
      <c r="H51" s="1">
        <v>236</v>
      </c>
      <c r="I51" t="s">
        <v>695</v>
      </c>
      <c r="J51" t="str">
        <f t="shared" si="0"/>
        <v>&lt;img src="https://flagcdn.com/w40/ck.png" alt="Cook Islands flag"&gt;</v>
      </c>
    </row>
    <row r="52" spans="1:10" x14ac:dyDescent="0.25">
      <c r="A52" t="s">
        <v>500</v>
      </c>
      <c r="B52" t="s">
        <v>679</v>
      </c>
      <c r="C52" t="s">
        <v>92</v>
      </c>
      <c r="D52" t="s">
        <v>669</v>
      </c>
      <c r="E52" t="s">
        <v>451</v>
      </c>
      <c r="F52" t="s">
        <v>91</v>
      </c>
      <c r="G52" t="str">
        <f>_xlfn.XLOOKUP(F52,Sheet1!D:D,Sheet1!A:A)</f>
        <v>North America</v>
      </c>
      <c r="H52" s="1">
        <v>51100</v>
      </c>
      <c r="I52" t="s">
        <v>694</v>
      </c>
      <c r="J52" t="str">
        <f t="shared" si="0"/>
        <v>&lt;img src="https://flagcdn.com/w40/cr.png" alt="Costa Rica flag"&gt;</v>
      </c>
    </row>
    <row r="53" spans="1:10" x14ac:dyDescent="0.25">
      <c r="A53" t="s">
        <v>1660</v>
      </c>
      <c r="B53" t="s">
        <v>679</v>
      </c>
      <c r="C53" t="s">
        <v>80</v>
      </c>
      <c r="D53" t="s">
        <v>676</v>
      </c>
      <c r="E53" t="s">
        <v>451</v>
      </c>
      <c r="F53" t="s">
        <v>79</v>
      </c>
      <c r="G53" t="str">
        <f>_xlfn.XLOOKUP(F53,Sheet1!D:D,Sheet1!A:A)</f>
        <v>Africa</v>
      </c>
      <c r="H53" s="1">
        <v>322463</v>
      </c>
      <c r="I53" t="s">
        <v>694</v>
      </c>
      <c r="J53" t="str">
        <f t="shared" si="0"/>
        <v>&lt;img src="https://flagcdn.com/w40/ci.png" alt="Cote d'Ivoire flag"&gt;</v>
      </c>
    </row>
    <row r="54" spans="1:10" x14ac:dyDescent="0.25">
      <c r="A54" t="s">
        <v>501</v>
      </c>
      <c r="B54" t="s">
        <v>679</v>
      </c>
      <c r="C54" t="s">
        <v>180</v>
      </c>
      <c r="D54" t="s">
        <v>688</v>
      </c>
      <c r="E54" t="s">
        <v>451</v>
      </c>
      <c r="F54" t="s">
        <v>179</v>
      </c>
      <c r="G54" t="str">
        <f>_xlfn.XLOOKUP(F54,Sheet1!D:D,Sheet1!A:A)</f>
        <v>Europe</v>
      </c>
      <c r="H54" s="1">
        <v>56594</v>
      </c>
      <c r="I54" t="s">
        <v>694</v>
      </c>
      <c r="J54" t="str">
        <f t="shared" si="0"/>
        <v>&lt;img src="https://flagcdn.com/w40/hr.png" alt="Croatia flag"&gt;</v>
      </c>
    </row>
    <row r="55" spans="1:10" x14ac:dyDescent="0.25">
      <c r="A55" t="s">
        <v>502</v>
      </c>
      <c r="B55" t="s">
        <v>679</v>
      </c>
      <c r="C55" t="s">
        <v>94</v>
      </c>
      <c r="D55" t="s">
        <v>684</v>
      </c>
      <c r="E55" t="s">
        <v>451</v>
      </c>
      <c r="F55" t="s">
        <v>93</v>
      </c>
      <c r="G55" t="str">
        <f>_xlfn.XLOOKUP(F55,Sheet1!D:D,Sheet1!A:A)</f>
        <v>North America</v>
      </c>
      <c r="H55" s="1">
        <v>110860</v>
      </c>
      <c r="I55" t="s">
        <v>694</v>
      </c>
      <c r="J55" t="str">
        <f t="shared" si="0"/>
        <v>&lt;img src="https://flagcdn.com/w40/cu.png" alt="Cuba flag"&gt;</v>
      </c>
    </row>
    <row r="56" spans="1:10" x14ac:dyDescent="0.25">
      <c r="A56" t="s">
        <v>1659</v>
      </c>
      <c r="B56" t="s">
        <v>679</v>
      </c>
      <c r="C56" t="s">
        <v>98</v>
      </c>
      <c r="D56" t="s">
        <v>687</v>
      </c>
      <c r="E56" t="s">
        <v>451</v>
      </c>
      <c r="F56" t="s">
        <v>97</v>
      </c>
      <c r="G56" t="str">
        <f>_xlfn.XLOOKUP(F56,Sheet1!D:D,Sheet1!A:A)</f>
        <v>North America</v>
      </c>
      <c r="H56" s="1">
        <v>444</v>
      </c>
      <c r="I56" t="s">
        <v>695</v>
      </c>
      <c r="J56" t="str">
        <f t="shared" si="0"/>
        <v>&lt;img src="https://flagcdn.com/w40/cw.png" alt="Curacao flag"&gt;</v>
      </c>
    </row>
    <row r="57" spans="1:10" x14ac:dyDescent="0.25">
      <c r="A57" t="s">
        <v>505</v>
      </c>
      <c r="B57" t="s">
        <v>679</v>
      </c>
      <c r="C57" t="s">
        <v>104</v>
      </c>
      <c r="D57" t="s">
        <v>673</v>
      </c>
      <c r="E57" t="s">
        <v>451</v>
      </c>
      <c r="F57" t="s">
        <v>103</v>
      </c>
      <c r="G57" t="str">
        <f>_xlfn.XLOOKUP(F57,Sheet1!D:D,Sheet1!A:A)</f>
        <v>Europe</v>
      </c>
      <c r="H57" s="1">
        <v>78867</v>
      </c>
      <c r="I57" t="s">
        <v>694</v>
      </c>
      <c r="J57" t="str">
        <f t="shared" si="0"/>
        <v>&lt;img src="https://flagcdn.com/w40/cz.png" alt="Czech Republic flag"&gt;</v>
      </c>
    </row>
    <row r="58" spans="1:10" x14ac:dyDescent="0.25">
      <c r="A58" t="s">
        <v>706</v>
      </c>
      <c r="B58" t="s">
        <v>683</v>
      </c>
      <c r="C58" t="s">
        <v>72</v>
      </c>
      <c r="D58" t="s">
        <v>670</v>
      </c>
      <c r="E58" t="s">
        <v>451</v>
      </c>
      <c r="F58" t="s">
        <v>71</v>
      </c>
      <c r="G58" t="str">
        <f>_xlfn.XLOOKUP(F58,Sheet1!D:D,Sheet1!A:A)</f>
        <v>Africa</v>
      </c>
      <c r="H58" s="1">
        <v>2344858</v>
      </c>
      <c r="I58" t="s">
        <v>694</v>
      </c>
      <c r="J58" t="str">
        <f t="shared" si="0"/>
        <v>&lt;img src="https://flagcdn.com/w40/cd.png" alt="DRC flag"&gt;</v>
      </c>
    </row>
    <row r="59" spans="1:10" x14ac:dyDescent="0.25">
      <c r="A59" t="s">
        <v>506</v>
      </c>
      <c r="B59" t="s">
        <v>683</v>
      </c>
      <c r="C59" t="s">
        <v>110</v>
      </c>
      <c r="D59" t="s">
        <v>679</v>
      </c>
      <c r="E59" t="s">
        <v>451</v>
      </c>
      <c r="F59" t="s">
        <v>109</v>
      </c>
      <c r="G59" t="str">
        <f>_xlfn.XLOOKUP(F59,Sheet1!D:D,Sheet1!A:A)</f>
        <v>Europe</v>
      </c>
      <c r="H59" s="1">
        <v>43094</v>
      </c>
      <c r="I59" t="s">
        <v>694</v>
      </c>
      <c r="J59" t="str">
        <f t="shared" si="0"/>
        <v>&lt;img src="https://flagcdn.com/w40/dk.png" alt="Denmark flag"&gt;</v>
      </c>
    </row>
    <row r="60" spans="1:10" x14ac:dyDescent="0.25">
      <c r="A60" t="s">
        <v>108</v>
      </c>
      <c r="B60" t="s">
        <v>683</v>
      </c>
      <c r="C60" t="s">
        <v>108</v>
      </c>
      <c r="D60" t="s">
        <v>683</v>
      </c>
      <c r="E60" t="s">
        <v>451</v>
      </c>
      <c r="F60" t="s">
        <v>107</v>
      </c>
      <c r="G60" t="str">
        <f>_xlfn.XLOOKUP(F60,Sheet1!D:D,Sheet1!A:A)</f>
        <v>Africa</v>
      </c>
      <c r="H60" s="1">
        <v>23200</v>
      </c>
      <c r="I60" t="s">
        <v>694</v>
      </c>
      <c r="J60" t="str">
        <f t="shared" si="0"/>
        <v>&lt;img src="https://flagcdn.com/w40/dj.png" alt="Djibouti flag"&gt;</v>
      </c>
    </row>
    <row r="61" spans="1:10" x14ac:dyDescent="0.25">
      <c r="A61" t="s">
        <v>507</v>
      </c>
      <c r="B61" t="s">
        <v>683</v>
      </c>
      <c r="C61" t="s">
        <v>112</v>
      </c>
      <c r="D61" t="s">
        <v>685</v>
      </c>
      <c r="E61" t="s">
        <v>451</v>
      </c>
      <c r="F61" t="s">
        <v>111</v>
      </c>
      <c r="G61" t="str">
        <f>_xlfn.XLOOKUP(F61,Sheet1!D:D,Sheet1!A:A)</f>
        <v>North America</v>
      </c>
      <c r="H61" s="1">
        <v>751</v>
      </c>
      <c r="I61" t="s">
        <v>694</v>
      </c>
      <c r="J61" t="str">
        <f t="shared" si="0"/>
        <v>&lt;img src="https://flagcdn.com/w40/dm.png" alt="Dominica flag"&gt;</v>
      </c>
    </row>
    <row r="62" spans="1:10" x14ac:dyDescent="0.25">
      <c r="A62" t="s">
        <v>508</v>
      </c>
      <c r="B62" t="s">
        <v>683</v>
      </c>
      <c r="C62" t="s">
        <v>114</v>
      </c>
      <c r="D62" t="s">
        <v>669</v>
      </c>
      <c r="E62" t="s">
        <v>451</v>
      </c>
      <c r="F62" t="s">
        <v>113</v>
      </c>
      <c r="G62" t="str">
        <f>_xlfn.XLOOKUP(F62,Sheet1!D:D,Sheet1!A:A)</f>
        <v>North America</v>
      </c>
      <c r="H62" s="1">
        <v>48670</v>
      </c>
      <c r="I62" t="s">
        <v>694</v>
      </c>
      <c r="J62" t="str">
        <f t="shared" si="0"/>
        <v>&lt;img src="https://flagcdn.com/w40/do.png" alt="Dominican Republic flag"&gt;</v>
      </c>
    </row>
    <row r="63" spans="1:10" x14ac:dyDescent="0.25">
      <c r="A63" t="s">
        <v>707</v>
      </c>
      <c r="B63" t="s">
        <v>671</v>
      </c>
      <c r="C63" t="s">
        <v>400</v>
      </c>
      <c r="D63" t="s">
        <v>683</v>
      </c>
      <c r="E63" t="s">
        <v>451</v>
      </c>
      <c r="F63" t="s">
        <v>399</v>
      </c>
      <c r="G63" t="str">
        <f>_xlfn.XLOOKUP(F63,Sheet1!D:D,Sheet1!A:A)</f>
        <v>Asia</v>
      </c>
      <c r="H63" s="1">
        <v>14874</v>
      </c>
      <c r="I63" t="s">
        <v>694</v>
      </c>
      <c r="J63" t="str">
        <f t="shared" si="0"/>
        <v>&lt;img src="https://flagcdn.com/w40/tl.png" alt="East Timor flag"&gt;</v>
      </c>
    </row>
    <row r="64" spans="1:10" x14ac:dyDescent="0.25">
      <c r="A64" t="s">
        <v>509</v>
      </c>
      <c r="B64" t="s">
        <v>671</v>
      </c>
      <c r="C64" t="s">
        <v>118</v>
      </c>
      <c r="D64" t="s">
        <v>689</v>
      </c>
      <c r="E64" t="s">
        <v>451</v>
      </c>
      <c r="F64" t="s">
        <v>117</v>
      </c>
      <c r="G64" t="str">
        <f>_xlfn.XLOOKUP(F64,Sheet1!D:D,Sheet1!A:A)</f>
        <v>South America</v>
      </c>
      <c r="H64" s="1">
        <v>283561</v>
      </c>
      <c r="I64" t="s">
        <v>694</v>
      </c>
      <c r="J64" t="str">
        <f t="shared" si="0"/>
        <v>&lt;img src="https://flagcdn.com/w40/ec.png" alt="Ecuador flag"&gt;</v>
      </c>
    </row>
    <row r="65" spans="1:10" x14ac:dyDescent="0.25">
      <c r="A65" t="s">
        <v>510</v>
      </c>
      <c r="B65" t="s">
        <v>671</v>
      </c>
      <c r="C65" t="s">
        <v>122</v>
      </c>
      <c r="D65" t="s">
        <v>679</v>
      </c>
      <c r="E65" t="s">
        <v>451</v>
      </c>
      <c r="F65" t="s">
        <v>121</v>
      </c>
      <c r="G65" t="str">
        <f>_xlfn.XLOOKUP(F65,Sheet1!D:D,Sheet1!A:A)</f>
        <v>Africa</v>
      </c>
      <c r="H65" s="1">
        <v>1001450</v>
      </c>
      <c r="I65" t="s">
        <v>694</v>
      </c>
      <c r="J65" t="str">
        <f t="shared" si="0"/>
        <v>&lt;img src="https://flagcdn.com/w40/eg.png" alt="Egypt flag"&gt;</v>
      </c>
    </row>
    <row r="66" spans="1:10" x14ac:dyDescent="0.25">
      <c r="A66" t="s">
        <v>511</v>
      </c>
      <c r="B66" t="s">
        <v>671</v>
      </c>
      <c r="C66" t="s">
        <v>383</v>
      </c>
      <c r="D66" t="s">
        <v>669</v>
      </c>
      <c r="E66" t="s">
        <v>451</v>
      </c>
      <c r="F66" t="s">
        <v>382</v>
      </c>
      <c r="G66" t="str">
        <f>_xlfn.XLOOKUP(F66,Sheet1!D:D,Sheet1!A:A)</f>
        <v>North America</v>
      </c>
      <c r="H66" s="1">
        <v>21041</v>
      </c>
      <c r="I66" t="s">
        <v>694</v>
      </c>
      <c r="J66" t="str">
        <f t="shared" ref="J66:J129" si="1">"&lt;img src=""https://flagcdn.com/w40/" &amp; LOWER(F66) &amp; ".png"" alt=""" &amp; A66 &amp; " flag""&gt;"</f>
        <v>&lt;img src="https://flagcdn.com/w40/sv.png" alt="El Salvador flag"&gt;</v>
      </c>
    </row>
    <row r="67" spans="1:10" x14ac:dyDescent="0.25">
      <c r="A67" t="s">
        <v>512</v>
      </c>
      <c r="B67" t="s">
        <v>671</v>
      </c>
      <c r="C67" t="s">
        <v>164</v>
      </c>
      <c r="D67" t="s">
        <v>682</v>
      </c>
      <c r="E67" t="s">
        <v>451</v>
      </c>
      <c r="F67" t="s">
        <v>163</v>
      </c>
      <c r="G67" t="str">
        <f>_xlfn.XLOOKUP(F67,Sheet1!D:D,Sheet1!A:A)</f>
        <v>Africa</v>
      </c>
      <c r="H67" s="1">
        <v>28051</v>
      </c>
      <c r="I67" t="s">
        <v>694</v>
      </c>
      <c r="J67" t="str">
        <f t="shared" si="1"/>
        <v>&lt;img src="https://flagcdn.com/w40/gq.png" alt="Equatorial Guinea flag"&gt;</v>
      </c>
    </row>
    <row r="68" spans="1:10" x14ac:dyDescent="0.25">
      <c r="A68" t="s">
        <v>513</v>
      </c>
      <c r="B68" t="s">
        <v>671</v>
      </c>
      <c r="C68" t="s">
        <v>124</v>
      </c>
      <c r="D68" t="s">
        <v>668</v>
      </c>
      <c r="E68" t="s">
        <v>451</v>
      </c>
      <c r="F68" t="s">
        <v>123</v>
      </c>
      <c r="G68" t="str">
        <f>_xlfn.XLOOKUP(F68,Sheet1!D:D,Sheet1!A:A)</f>
        <v>Africa</v>
      </c>
      <c r="H68" s="1">
        <v>117600</v>
      </c>
      <c r="I68" t="s">
        <v>694</v>
      </c>
      <c r="J68" t="str">
        <f t="shared" si="1"/>
        <v>&lt;img src="https://flagcdn.com/w40/er.png" alt="Eritrea flag"&gt;</v>
      </c>
    </row>
    <row r="69" spans="1:10" x14ac:dyDescent="0.25">
      <c r="A69" t="s">
        <v>514</v>
      </c>
      <c r="B69" t="s">
        <v>671</v>
      </c>
      <c r="C69" t="s">
        <v>120</v>
      </c>
      <c r="D69" t="s">
        <v>672</v>
      </c>
      <c r="E69" t="s">
        <v>451</v>
      </c>
      <c r="F69" t="s">
        <v>119</v>
      </c>
      <c r="G69" t="str">
        <f>_xlfn.XLOOKUP(F69,Sheet1!D:D,Sheet1!A:A)</f>
        <v>Europe</v>
      </c>
      <c r="H69" s="1">
        <v>45228</v>
      </c>
      <c r="I69" t="s">
        <v>694</v>
      </c>
      <c r="J69" t="str">
        <f t="shared" si="1"/>
        <v>&lt;img src="https://flagcdn.com/w40/ee.png" alt="Estonia flag"&gt;</v>
      </c>
    </row>
    <row r="70" spans="1:10" x14ac:dyDescent="0.25">
      <c r="A70" t="s">
        <v>515</v>
      </c>
      <c r="B70" t="s">
        <v>671</v>
      </c>
      <c r="C70" t="s">
        <v>128</v>
      </c>
      <c r="D70" t="s">
        <v>668</v>
      </c>
      <c r="E70" t="s">
        <v>451</v>
      </c>
      <c r="F70" t="s">
        <v>127</v>
      </c>
      <c r="G70" t="str">
        <f>_xlfn.XLOOKUP(F70,Sheet1!D:D,Sheet1!A:A)</f>
        <v>Africa</v>
      </c>
      <c r="H70" s="1">
        <v>1104300</v>
      </c>
      <c r="I70" t="s">
        <v>694</v>
      </c>
      <c r="J70" t="str">
        <f t="shared" si="1"/>
        <v>&lt;img src="https://flagcdn.com/w40/et.png" alt="Ethiopia flag"&gt;</v>
      </c>
    </row>
    <row r="71" spans="1:10" x14ac:dyDescent="0.25">
      <c r="A71" t="s">
        <v>516</v>
      </c>
      <c r="B71" t="s">
        <v>686</v>
      </c>
      <c r="C71" t="s">
        <v>134</v>
      </c>
      <c r="D71" t="s">
        <v>669</v>
      </c>
      <c r="E71" t="s">
        <v>451</v>
      </c>
      <c r="F71" t="s">
        <v>133</v>
      </c>
      <c r="G71" t="str">
        <f>_xlfn.XLOOKUP(F71,Sheet1!D:D,Sheet1!A:A)</f>
        <v>South America</v>
      </c>
      <c r="H71" s="1">
        <v>12173</v>
      </c>
      <c r="I71" t="s">
        <v>695</v>
      </c>
      <c r="J71" t="str">
        <f t="shared" si="1"/>
        <v>&lt;img src="https://flagcdn.com/w40/fk.png" alt="Falkland Islands flag"&gt;</v>
      </c>
    </row>
    <row r="72" spans="1:10" x14ac:dyDescent="0.25">
      <c r="A72" t="s">
        <v>517</v>
      </c>
      <c r="B72" t="s">
        <v>686</v>
      </c>
      <c r="C72" t="s">
        <v>138</v>
      </c>
      <c r="D72" t="s">
        <v>672</v>
      </c>
      <c r="E72" t="s">
        <v>451</v>
      </c>
      <c r="F72" t="s">
        <v>137</v>
      </c>
      <c r="G72" t="str">
        <f>_xlfn.XLOOKUP(F72,Sheet1!D:D,Sheet1!A:A)</f>
        <v>Europe</v>
      </c>
      <c r="H72" s="1">
        <v>1393</v>
      </c>
      <c r="I72" t="s">
        <v>695</v>
      </c>
      <c r="J72" t="str">
        <f t="shared" si="1"/>
        <v>&lt;img src="https://flagcdn.com/w40/fo.png" alt="Faroe Islands flag"&gt;</v>
      </c>
    </row>
    <row r="73" spans="1:10" x14ac:dyDescent="0.25">
      <c r="A73" t="s">
        <v>696</v>
      </c>
      <c r="B73" t="s">
        <v>682</v>
      </c>
      <c r="C73" t="s">
        <v>136</v>
      </c>
      <c r="D73" t="s">
        <v>673</v>
      </c>
      <c r="E73" t="s">
        <v>451</v>
      </c>
      <c r="F73" t="s">
        <v>135</v>
      </c>
      <c r="G73" t="str">
        <f>_xlfn.XLOOKUP(F73,Sheet1!D:D,Sheet1!A:A)</f>
        <v>Oceania</v>
      </c>
      <c r="H73" s="1">
        <v>702</v>
      </c>
      <c r="I73" t="s">
        <v>694</v>
      </c>
      <c r="J73" t="str">
        <f t="shared" si="1"/>
        <v>&lt;img src="https://flagcdn.com/w40/fm.png" alt="Micronesia flag"&gt;</v>
      </c>
    </row>
    <row r="74" spans="1:10" x14ac:dyDescent="0.25">
      <c r="A74" t="s">
        <v>518</v>
      </c>
      <c r="B74" t="s">
        <v>686</v>
      </c>
      <c r="C74" t="s">
        <v>132</v>
      </c>
      <c r="D74" t="s">
        <v>669</v>
      </c>
      <c r="E74" t="s">
        <v>451</v>
      </c>
      <c r="F74" t="s">
        <v>131</v>
      </c>
      <c r="G74" t="str">
        <f>_xlfn.XLOOKUP(F74,Sheet1!D:D,Sheet1!A:A)</f>
        <v>Oceania</v>
      </c>
      <c r="H74" s="1">
        <v>18274</v>
      </c>
      <c r="I74" t="s">
        <v>694</v>
      </c>
      <c r="J74" t="str">
        <f t="shared" si="1"/>
        <v>&lt;img src="https://flagcdn.com/w40/fj.png" alt="Fiji flag"&gt;</v>
      </c>
    </row>
    <row r="75" spans="1:10" x14ac:dyDescent="0.25">
      <c r="A75" t="s">
        <v>519</v>
      </c>
      <c r="B75" t="s">
        <v>686</v>
      </c>
      <c r="C75" t="s">
        <v>130</v>
      </c>
      <c r="D75" t="s">
        <v>684</v>
      </c>
      <c r="E75" t="s">
        <v>451</v>
      </c>
      <c r="F75" t="s">
        <v>129</v>
      </c>
      <c r="G75" t="str">
        <f>_xlfn.XLOOKUP(F75,Sheet1!D:D,Sheet1!A:A)</f>
        <v>Europe</v>
      </c>
      <c r="H75" s="1">
        <v>338145</v>
      </c>
      <c r="I75" t="s">
        <v>694</v>
      </c>
      <c r="J75" t="str">
        <f t="shared" si="1"/>
        <v>&lt;img src="https://flagcdn.com/w40/fi.png" alt="Finland flag"&gt;</v>
      </c>
    </row>
    <row r="76" spans="1:10" x14ac:dyDescent="0.25">
      <c r="A76" t="s">
        <v>520</v>
      </c>
      <c r="B76" t="s">
        <v>686</v>
      </c>
      <c r="C76" t="s">
        <v>140</v>
      </c>
      <c r="D76" t="s">
        <v>673</v>
      </c>
      <c r="E76" t="s">
        <v>451</v>
      </c>
      <c r="F76" t="s">
        <v>139</v>
      </c>
      <c r="G76" t="str">
        <f>_xlfn.XLOOKUP(F76,Sheet1!D:D,Sheet1!A:A)</f>
        <v>Europe</v>
      </c>
      <c r="H76" s="1">
        <v>643801</v>
      </c>
      <c r="I76" t="s">
        <v>694</v>
      </c>
      <c r="J76" t="str">
        <f t="shared" si="1"/>
        <v>&lt;img src="https://flagcdn.com/w40/fr.png" alt="France flag"&gt;</v>
      </c>
    </row>
    <row r="77" spans="1:10" x14ac:dyDescent="0.25">
      <c r="A77" t="s">
        <v>521</v>
      </c>
      <c r="B77" t="s">
        <v>686</v>
      </c>
      <c r="C77" t="s">
        <v>150</v>
      </c>
      <c r="D77" t="s">
        <v>679</v>
      </c>
      <c r="E77" t="s">
        <v>451</v>
      </c>
      <c r="F77" t="s">
        <v>149</v>
      </c>
      <c r="G77" t="str">
        <f>_xlfn.XLOOKUP(F77,Sheet1!D:D,Sheet1!A:A)</f>
        <v>South America</v>
      </c>
      <c r="H77" s="1">
        <v>86504</v>
      </c>
      <c r="I77" t="s">
        <v>695</v>
      </c>
      <c r="J77" t="str">
        <f t="shared" si="1"/>
        <v>&lt;img src="https://flagcdn.com/w40/gf.png" alt="French Guiana flag"&gt;</v>
      </c>
    </row>
    <row r="78" spans="1:10" x14ac:dyDescent="0.25">
      <c r="A78" t="s">
        <v>522</v>
      </c>
      <c r="B78" t="s">
        <v>686</v>
      </c>
      <c r="C78" t="s">
        <v>322</v>
      </c>
      <c r="D78" t="s">
        <v>673</v>
      </c>
      <c r="E78" t="s">
        <v>451</v>
      </c>
      <c r="F78" t="s">
        <v>321</v>
      </c>
      <c r="G78" t="str">
        <f>_xlfn.XLOOKUP(F78,Sheet1!D:D,Sheet1!A:A)</f>
        <v>Oceania</v>
      </c>
      <c r="H78" s="1">
        <v>4167</v>
      </c>
      <c r="I78" t="s">
        <v>695</v>
      </c>
      <c r="J78" t="str">
        <f t="shared" si="1"/>
        <v>&lt;img src="https://flagcdn.com/w40/pf.png" alt="French Polynesia flag"&gt;</v>
      </c>
    </row>
    <row r="79" spans="1:10" x14ac:dyDescent="0.25">
      <c r="A79" t="s">
        <v>523</v>
      </c>
      <c r="B79" t="s">
        <v>678</v>
      </c>
      <c r="C79" t="s">
        <v>142</v>
      </c>
      <c r="D79" t="s">
        <v>674</v>
      </c>
      <c r="E79" t="s">
        <v>451</v>
      </c>
      <c r="F79" t="s">
        <v>141</v>
      </c>
      <c r="G79" t="str">
        <f>_xlfn.XLOOKUP(F79,Sheet1!D:D,Sheet1!A:A)</f>
        <v>Africa</v>
      </c>
      <c r="H79" s="1">
        <v>267667</v>
      </c>
      <c r="I79" t="s">
        <v>694</v>
      </c>
      <c r="J79" t="str">
        <f t="shared" si="1"/>
        <v>&lt;img src="https://flagcdn.com/w40/ga.png" alt="Gabon flag"&gt;</v>
      </c>
    </row>
    <row r="80" spans="1:10" x14ac:dyDescent="0.25">
      <c r="A80" t="s">
        <v>524</v>
      </c>
      <c r="B80" t="s">
        <v>678</v>
      </c>
      <c r="C80" t="s">
        <v>160</v>
      </c>
      <c r="D80" t="s">
        <v>675</v>
      </c>
      <c r="E80" t="s">
        <v>451</v>
      </c>
      <c r="F80" t="s">
        <v>159</v>
      </c>
      <c r="G80" t="str">
        <f>_xlfn.XLOOKUP(F80,Sheet1!D:D,Sheet1!A:A)</f>
        <v>Africa</v>
      </c>
      <c r="H80" s="1">
        <v>11295</v>
      </c>
      <c r="I80" t="s">
        <v>694</v>
      </c>
      <c r="J80" t="str">
        <f t="shared" si="1"/>
        <v>&lt;img src="https://flagcdn.com/w40/gm.png" alt="Gambia flag"&gt;</v>
      </c>
    </row>
    <row r="81" spans="1:10" x14ac:dyDescent="0.25">
      <c r="A81" t="s">
        <v>525</v>
      </c>
      <c r="B81" t="s">
        <v>678</v>
      </c>
      <c r="C81" t="s">
        <v>148</v>
      </c>
      <c r="D81" t="s">
        <v>672</v>
      </c>
      <c r="E81" t="s">
        <v>451</v>
      </c>
      <c r="F81" t="s">
        <v>147</v>
      </c>
      <c r="G81" t="str">
        <f>_xlfn.XLOOKUP(F81,Sheet1!D:D,Sheet1!A:A)</f>
        <v>Europe</v>
      </c>
      <c r="H81" s="1">
        <v>69700</v>
      </c>
      <c r="I81" t="s">
        <v>694</v>
      </c>
      <c r="J81" t="str">
        <f t="shared" si="1"/>
        <v>&lt;img src="https://flagcdn.com/w40/ge.png" alt="Georgia flag"&gt;</v>
      </c>
    </row>
    <row r="82" spans="1:10" x14ac:dyDescent="0.25">
      <c r="A82" t="s">
        <v>526</v>
      </c>
      <c r="B82" t="s">
        <v>678</v>
      </c>
      <c r="C82" t="s">
        <v>106</v>
      </c>
      <c r="D82" t="s">
        <v>675</v>
      </c>
      <c r="E82" t="s">
        <v>451</v>
      </c>
      <c r="F82" t="s">
        <v>105</v>
      </c>
      <c r="G82" t="str">
        <f>_xlfn.XLOOKUP(F82,Sheet1!D:D,Sheet1!A:A)</f>
        <v>Europe</v>
      </c>
      <c r="H82" s="1">
        <v>357022</v>
      </c>
      <c r="I82" t="s">
        <v>694</v>
      </c>
      <c r="J82" t="str">
        <f t="shared" si="1"/>
        <v>&lt;img src="https://flagcdn.com/w40/de.png" alt="Germany flag"&gt;</v>
      </c>
    </row>
    <row r="83" spans="1:10" x14ac:dyDescent="0.25">
      <c r="A83" t="s">
        <v>527</v>
      </c>
      <c r="B83" t="s">
        <v>678</v>
      </c>
      <c r="C83" t="s">
        <v>154</v>
      </c>
      <c r="D83" t="s">
        <v>668</v>
      </c>
      <c r="E83" t="s">
        <v>451</v>
      </c>
      <c r="F83" t="s">
        <v>153</v>
      </c>
      <c r="G83" t="str">
        <f>_xlfn.XLOOKUP(F83,Sheet1!D:D,Sheet1!A:A)</f>
        <v>Africa</v>
      </c>
      <c r="H83" s="1">
        <v>238533</v>
      </c>
      <c r="I83" t="s">
        <v>694</v>
      </c>
      <c r="J83" t="str">
        <f t="shared" si="1"/>
        <v>&lt;img src="https://flagcdn.com/w40/gh.png" alt="Ghana flag"&gt;</v>
      </c>
    </row>
    <row r="84" spans="1:10" x14ac:dyDescent="0.25">
      <c r="A84" t="s">
        <v>156</v>
      </c>
      <c r="B84" t="s">
        <v>678</v>
      </c>
      <c r="C84" t="s">
        <v>156</v>
      </c>
      <c r="D84" t="s">
        <v>678</v>
      </c>
      <c r="E84" t="s">
        <v>451</v>
      </c>
      <c r="F84" t="s">
        <v>155</v>
      </c>
      <c r="G84" t="str">
        <f>_xlfn.XLOOKUP(F84,Sheet1!D:D,Sheet1!A:A)</f>
        <v>Europe</v>
      </c>
      <c r="H84" s="1">
        <v>6</v>
      </c>
      <c r="I84" t="s">
        <v>695</v>
      </c>
      <c r="J84" t="str">
        <f t="shared" si="1"/>
        <v>&lt;img src="https://flagcdn.com/w40/gi.png" alt="Gibraltar flag"&gt;</v>
      </c>
    </row>
    <row r="85" spans="1:10" x14ac:dyDescent="0.25">
      <c r="A85" t="s">
        <v>528</v>
      </c>
      <c r="B85" t="s">
        <v>678</v>
      </c>
      <c r="C85" t="s">
        <v>166</v>
      </c>
      <c r="D85" t="s">
        <v>668</v>
      </c>
      <c r="E85" t="s">
        <v>451</v>
      </c>
      <c r="F85" t="s">
        <v>165</v>
      </c>
      <c r="G85" t="str">
        <f>_xlfn.XLOOKUP(F85,Sheet1!D:D,Sheet1!A:A)</f>
        <v>Europe</v>
      </c>
      <c r="H85" s="1">
        <v>131957</v>
      </c>
      <c r="I85" t="s">
        <v>694</v>
      </c>
      <c r="J85" t="str">
        <f t="shared" si="1"/>
        <v>&lt;img src="https://flagcdn.com/w40/gr.png" alt="Greece flag"&gt;</v>
      </c>
    </row>
    <row r="86" spans="1:10" x14ac:dyDescent="0.25">
      <c r="A86" t="s">
        <v>529</v>
      </c>
      <c r="B86" t="s">
        <v>678</v>
      </c>
      <c r="C86" t="s">
        <v>158</v>
      </c>
      <c r="D86" t="s">
        <v>681</v>
      </c>
      <c r="E86" t="s">
        <v>451</v>
      </c>
      <c r="F86" t="s">
        <v>157</v>
      </c>
      <c r="G86" t="str">
        <f>_xlfn.XLOOKUP(F86,Sheet1!D:D,Sheet1!A:A)</f>
        <v>North America</v>
      </c>
      <c r="H86" s="1">
        <v>2166086</v>
      </c>
      <c r="I86" t="s">
        <v>695</v>
      </c>
      <c r="J86" t="str">
        <f t="shared" si="1"/>
        <v>&lt;img src="https://flagcdn.com/w40/gl.png" alt="Greenland flag"&gt;</v>
      </c>
    </row>
    <row r="87" spans="1:10" x14ac:dyDescent="0.25">
      <c r="A87" t="s">
        <v>530</v>
      </c>
      <c r="B87" t="s">
        <v>678</v>
      </c>
      <c r="C87" t="s">
        <v>146</v>
      </c>
      <c r="D87" t="s">
        <v>669</v>
      </c>
      <c r="E87" t="s">
        <v>451</v>
      </c>
      <c r="F87" t="s">
        <v>145</v>
      </c>
      <c r="G87" t="str">
        <f>_xlfn.XLOOKUP(F87,Sheet1!D:D,Sheet1!A:A)</f>
        <v>North America</v>
      </c>
      <c r="H87" s="1">
        <v>344</v>
      </c>
      <c r="I87" t="s">
        <v>694</v>
      </c>
      <c r="J87" t="str">
        <f t="shared" si="1"/>
        <v>&lt;img src="https://flagcdn.com/w40/gd.png" alt="Grenada flag"&gt;</v>
      </c>
    </row>
    <row r="88" spans="1:10" x14ac:dyDescent="0.25">
      <c r="A88" t="s">
        <v>531</v>
      </c>
      <c r="B88" t="s">
        <v>678</v>
      </c>
      <c r="C88" t="s">
        <v>172</v>
      </c>
      <c r="D88" t="s">
        <v>684</v>
      </c>
      <c r="E88" t="s">
        <v>451</v>
      </c>
      <c r="F88" t="s">
        <v>171</v>
      </c>
      <c r="G88" t="str">
        <f>_xlfn.XLOOKUP(F88,Sheet1!D:D,Sheet1!A:A)</f>
        <v>Oceania</v>
      </c>
      <c r="H88" s="1">
        <v>544</v>
      </c>
      <c r="I88" t="s">
        <v>695</v>
      </c>
      <c r="J88" t="str">
        <f t="shared" si="1"/>
        <v>&lt;img src="https://flagcdn.com/w40/gu.png" alt="Guam flag"&gt;</v>
      </c>
    </row>
    <row r="89" spans="1:10" x14ac:dyDescent="0.25">
      <c r="A89" t="s">
        <v>532</v>
      </c>
      <c r="B89" t="s">
        <v>678</v>
      </c>
      <c r="C89" t="s">
        <v>170</v>
      </c>
      <c r="D89" t="s">
        <v>678</v>
      </c>
      <c r="E89" t="s">
        <v>451</v>
      </c>
      <c r="F89" t="s">
        <v>169</v>
      </c>
      <c r="G89" t="str">
        <f>_xlfn.XLOOKUP(F89,Sheet1!D:D,Sheet1!A:A)</f>
        <v>North America</v>
      </c>
      <c r="H89" s="1">
        <v>108889</v>
      </c>
      <c r="I89" t="s">
        <v>694</v>
      </c>
      <c r="J89" t="str">
        <f t="shared" si="1"/>
        <v>&lt;img src="https://flagcdn.com/w40/gt.png" alt="Guatemala flag"&gt;</v>
      </c>
    </row>
    <row r="90" spans="1:10" x14ac:dyDescent="0.25">
      <c r="A90" t="s">
        <v>533</v>
      </c>
      <c r="B90" t="s">
        <v>678</v>
      </c>
      <c r="C90" t="s">
        <v>152</v>
      </c>
      <c r="D90" t="s">
        <v>669</v>
      </c>
      <c r="E90" t="s">
        <v>451</v>
      </c>
      <c r="F90" t="s">
        <v>151</v>
      </c>
      <c r="G90" t="str">
        <f>_xlfn.XLOOKUP(F90,Sheet1!D:D,Sheet1!A:A)</f>
        <v>Europe</v>
      </c>
      <c r="H90" s="1">
        <v>78</v>
      </c>
      <c r="I90" t="s">
        <v>695</v>
      </c>
      <c r="J90" t="str">
        <f t="shared" si="1"/>
        <v>&lt;img src="https://flagcdn.com/w40/gg.png" alt="Guernsey flag"&gt;</v>
      </c>
    </row>
    <row r="91" spans="1:10" x14ac:dyDescent="0.25">
      <c r="A91" t="s">
        <v>534</v>
      </c>
      <c r="B91" t="s">
        <v>678</v>
      </c>
      <c r="C91" t="s">
        <v>162</v>
      </c>
      <c r="D91" t="s">
        <v>679</v>
      </c>
      <c r="E91" t="s">
        <v>451</v>
      </c>
      <c r="F91" t="s">
        <v>161</v>
      </c>
      <c r="G91" t="str">
        <f>_xlfn.XLOOKUP(F91,Sheet1!D:D,Sheet1!A:A)</f>
        <v>Africa</v>
      </c>
      <c r="H91" s="1">
        <v>245857</v>
      </c>
      <c r="I91" t="s">
        <v>694</v>
      </c>
      <c r="J91" t="str">
        <f t="shared" si="1"/>
        <v>&lt;img src="https://flagcdn.com/w40/gn.png" alt="Guinea flag"&gt;</v>
      </c>
    </row>
    <row r="92" spans="1:10" x14ac:dyDescent="0.25">
      <c r="A92" t="s">
        <v>708</v>
      </c>
      <c r="B92" t="s">
        <v>678</v>
      </c>
      <c r="C92" t="s">
        <v>174</v>
      </c>
      <c r="D92" t="s">
        <v>675</v>
      </c>
      <c r="E92" t="s">
        <v>451</v>
      </c>
      <c r="F92" t="s">
        <v>173</v>
      </c>
      <c r="G92" t="str">
        <f>_xlfn.XLOOKUP(F92,Sheet1!D:D,Sheet1!A:A)</f>
        <v>Africa</v>
      </c>
      <c r="H92" s="1">
        <v>36125</v>
      </c>
      <c r="I92" t="s">
        <v>694</v>
      </c>
      <c r="J92" t="str">
        <f t="shared" si="1"/>
        <v>&lt;img src="https://flagcdn.com/w40/gw.png" alt="Guinea Bissau flag"&gt;</v>
      </c>
    </row>
    <row r="93" spans="1:10" x14ac:dyDescent="0.25">
      <c r="A93" t="s">
        <v>536</v>
      </c>
      <c r="B93" t="s">
        <v>684</v>
      </c>
      <c r="C93" t="s">
        <v>1202</v>
      </c>
      <c r="D93" t="s">
        <v>673</v>
      </c>
      <c r="E93" t="s">
        <v>451</v>
      </c>
      <c r="F93" t="s">
        <v>181</v>
      </c>
      <c r="G93" t="str">
        <f>_xlfn.XLOOKUP(F93,Sheet1!D:D,Sheet1!A:A)</f>
        <v>North America</v>
      </c>
      <c r="H93" s="1">
        <v>27750</v>
      </c>
      <c r="I93" t="s">
        <v>694</v>
      </c>
      <c r="J93" t="str">
        <f t="shared" si="1"/>
        <v>&lt;img src="https://flagcdn.com/w40/ht.png" alt="Haiti flag"&gt;</v>
      </c>
    </row>
    <row r="94" spans="1:10" x14ac:dyDescent="0.25">
      <c r="A94" t="s">
        <v>537</v>
      </c>
      <c r="B94" t="s">
        <v>684</v>
      </c>
      <c r="C94" t="s">
        <v>178</v>
      </c>
      <c r="D94" t="s">
        <v>672</v>
      </c>
      <c r="E94" t="s">
        <v>451</v>
      </c>
      <c r="F94" t="s">
        <v>177</v>
      </c>
      <c r="G94" t="str">
        <f>_xlfn.XLOOKUP(F94,Sheet1!D:D,Sheet1!A:A)</f>
        <v>North America</v>
      </c>
      <c r="H94" s="1">
        <v>112090</v>
      </c>
      <c r="I94" t="s">
        <v>694</v>
      </c>
      <c r="J94" t="str">
        <f t="shared" si="1"/>
        <v>&lt;img src="https://flagcdn.com/w40/hn.png" alt="Honduras flag"&gt;</v>
      </c>
    </row>
    <row r="95" spans="1:10" x14ac:dyDescent="0.25">
      <c r="A95" t="s">
        <v>538</v>
      </c>
      <c r="B95" t="s">
        <v>684</v>
      </c>
      <c r="C95" t="s">
        <v>183</v>
      </c>
      <c r="D95" t="s">
        <v>675</v>
      </c>
      <c r="E95" t="s">
        <v>451</v>
      </c>
      <c r="F95" t="s">
        <v>182</v>
      </c>
      <c r="G95" t="str">
        <f>_xlfn.XLOOKUP(F95,Sheet1!D:D,Sheet1!A:A)</f>
        <v>Europe</v>
      </c>
      <c r="H95" s="1">
        <v>93028</v>
      </c>
      <c r="I95" t="s">
        <v>694</v>
      </c>
      <c r="J95" t="str">
        <f t="shared" si="1"/>
        <v>&lt;img src="https://flagcdn.com/w40/hu.png" alt="Hungary flag"&gt;</v>
      </c>
    </row>
    <row r="96" spans="1:10" x14ac:dyDescent="0.25">
      <c r="A96" t="s">
        <v>539</v>
      </c>
      <c r="B96" t="s">
        <v>690</v>
      </c>
      <c r="C96" t="s">
        <v>199</v>
      </c>
      <c r="D96" t="s">
        <v>685</v>
      </c>
      <c r="E96" t="s">
        <v>451</v>
      </c>
      <c r="F96" t="s">
        <v>198</v>
      </c>
      <c r="G96" t="str">
        <f>_xlfn.XLOOKUP(F96,Sheet1!D:D,Sheet1!A:A)</f>
        <v>Europe</v>
      </c>
      <c r="H96" s="1">
        <v>103000</v>
      </c>
      <c r="I96" t="s">
        <v>694</v>
      </c>
      <c r="J96" t="str">
        <f t="shared" si="1"/>
        <v>&lt;img src="https://flagcdn.com/w40/is.png" alt="Iceland flag"&gt;</v>
      </c>
    </row>
    <row r="97" spans="1:10" x14ac:dyDescent="0.25">
      <c r="A97" t="s">
        <v>540</v>
      </c>
      <c r="B97" t="s">
        <v>690</v>
      </c>
      <c r="C97" t="s">
        <v>193</v>
      </c>
      <c r="D97" t="s">
        <v>681</v>
      </c>
      <c r="E97" t="s">
        <v>451</v>
      </c>
      <c r="F97" t="s">
        <v>192</v>
      </c>
      <c r="G97" t="str">
        <f>_xlfn.XLOOKUP(F97,Sheet1!D:D,Sheet1!A:A)</f>
        <v>Asia</v>
      </c>
      <c r="H97" s="1">
        <v>3287263</v>
      </c>
      <c r="I97" t="s">
        <v>694</v>
      </c>
      <c r="J97" t="str">
        <f t="shared" si="1"/>
        <v>&lt;img src="https://flagcdn.com/w40/in.png" alt="India flag"&gt;</v>
      </c>
    </row>
    <row r="98" spans="1:10" x14ac:dyDescent="0.25">
      <c r="A98" t="s">
        <v>541</v>
      </c>
      <c r="B98" t="s">
        <v>690</v>
      </c>
      <c r="C98" t="s">
        <v>185</v>
      </c>
      <c r="D98" t="s">
        <v>691</v>
      </c>
      <c r="E98" t="s">
        <v>451</v>
      </c>
      <c r="F98" t="s">
        <v>184</v>
      </c>
      <c r="G98" t="str">
        <f>_xlfn.XLOOKUP(F98,Sheet1!D:D,Sheet1!A:A)</f>
        <v>Asia</v>
      </c>
      <c r="H98" s="1">
        <v>1904569</v>
      </c>
      <c r="I98" t="s">
        <v>694</v>
      </c>
      <c r="J98" t="str">
        <f t="shared" si="1"/>
        <v>&lt;img src="https://flagcdn.com/w40/id.png" alt="Indonesia flag"&gt;</v>
      </c>
    </row>
    <row r="99" spans="1:10" x14ac:dyDescent="0.25">
      <c r="A99" t="s">
        <v>542</v>
      </c>
      <c r="B99" t="s">
        <v>690</v>
      </c>
      <c r="C99" t="s">
        <v>197</v>
      </c>
      <c r="D99" t="s">
        <v>672</v>
      </c>
      <c r="E99" t="s">
        <v>451</v>
      </c>
      <c r="F99" t="s">
        <v>196</v>
      </c>
      <c r="G99" t="str">
        <f>_xlfn.XLOOKUP(F99,Sheet1!D:D,Sheet1!A:A)</f>
        <v>Asia</v>
      </c>
      <c r="H99" s="1">
        <v>1648195</v>
      </c>
      <c r="I99" t="s">
        <v>694</v>
      </c>
      <c r="J99" t="str">
        <f t="shared" si="1"/>
        <v>&lt;img src="https://flagcdn.com/w40/ir.png" alt="Iran flag"&gt;</v>
      </c>
    </row>
    <row r="100" spans="1:10" x14ac:dyDescent="0.25">
      <c r="A100" t="s">
        <v>543</v>
      </c>
      <c r="B100" t="s">
        <v>690</v>
      </c>
      <c r="C100" t="s">
        <v>195</v>
      </c>
      <c r="D100" t="s">
        <v>675</v>
      </c>
      <c r="E100" t="s">
        <v>451</v>
      </c>
      <c r="F100" t="s">
        <v>194</v>
      </c>
      <c r="G100" t="str">
        <f>_xlfn.XLOOKUP(F100,Sheet1!D:D,Sheet1!A:A)</f>
        <v>Asia</v>
      </c>
      <c r="H100" s="1">
        <v>438317</v>
      </c>
      <c r="I100" t="s">
        <v>694</v>
      </c>
      <c r="J100" t="str">
        <f t="shared" si="1"/>
        <v>&lt;img src="https://flagcdn.com/w40/iq.png" alt="Iraq flag"&gt;</v>
      </c>
    </row>
    <row r="101" spans="1:10" x14ac:dyDescent="0.25">
      <c r="A101" t="s">
        <v>544</v>
      </c>
      <c r="B101" t="s">
        <v>690</v>
      </c>
      <c r="C101" t="s">
        <v>187</v>
      </c>
      <c r="D101" t="s">
        <v>683</v>
      </c>
      <c r="E101" t="s">
        <v>451</v>
      </c>
      <c r="F101" t="s">
        <v>186</v>
      </c>
      <c r="G101" t="str">
        <f>_xlfn.XLOOKUP(F101,Sheet1!D:D,Sheet1!A:A)</f>
        <v>Europe</v>
      </c>
      <c r="H101" s="1">
        <v>70273</v>
      </c>
      <c r="I101" t="s">
        <v>694</v>
      </c>
      <c r="J101" t="str">
        <f t="shared" si="1"/>
        <v>&lt;img src="https://flagcdn.com/w40/ie.png" alt="Ireland flag"&gt;</v>
      </c>
    </row>
    <row r="102" spans="1:10" x14ac:dyDescent="0.25">
      <c r="A102" t="s">
        <v>545</v>
      </c>
      <c r="B102" t="s">
        <v>690</v>
      </c>
      <c r="C102" t="s">
        <v>191</v>
      </c>
      <c r="D102" t="s">
        <v>683</v>
      </c>
      <c r="E102" t="s">
        <v>451</v>
      </c>
      <c r="F102" t="s">
        <v>190</v>
      </c>
      <c r="G102" t="str">
        <f>_xlfn.XLOOKUP(F102,Sheet1!D:D,Sheet1!A:A)</f>
        <v>Europe</v>
      </c>
      <c r="H102" s="1">
        <v>572</v>
      </c>
      <c r="I102" t="s">
        <v>695</v>
      </c>
      <c r="J102" t="str">
        <f t="shared" si="1"/>
        <v>&lt;img src="https://flagcdn.com/w40/im.png" alt="Isle of Man flag"&gt;</v>
      </c>
    </row>
    <row r="103" spans="1:10" x14ac:dyDescent="0.25">
      <c r="A103" t="s">
        <v>546</v>
      </c>
      <c r="B103" t="s">
        <v>690</v>
      </c>
      <c r="C103" t="s">
        <v>189</v>
      </c>
      <c r="D103" t="s">
        <v>691</v>
      </c>
      <c r="E103" t="s">
        <v>451</v>
      </c>
      <c r="F103" t="s">
        <v>188</v>
      </c>
      <c r="G103" t="str">
        <f>_xlfn.XLOOKUP(F103,Sheet1!D:D,Sheet1!A:A)</f>
        <v>Asia</v>
      </c>
      <c r="H103" s="1">
        <v>20770</v>
      </c>
      <c r="I103" t="s">
        <v>694</v>
      </c>
      <c r="J103" t="str">
        <f t="shared" si="1"/>
        <v>&lt;img src="https://flagcdn.com/w40/il.png" alt="Israel flag"&gt;</v>
      </c>
    </row>
    <row r="104" spans="1:10" x14ac:dyDescent="0.25">
      <c r="A104" t="s">
        <v>547</v>
      </c>
      <c r="B104" t="s">
        <v>690</v>
      </c>
      <c r="C104" t="s">
        <v>703</v>
      </c>
      <c r="D104" t="s">
        <v>685</v>
      </c>
      <c r="E104" t="s">
        <v>451</v>
      </c>
      <c r="F104" t="s">
        <v>200</v>
      </c>
      <c r="G104" t="str">
        <f>_xlfn.XLOOKUP(F104,Sheet1!D:D,Sheet1!A:A)</f>
        <v>Europe</v>
      </c>
      <c r="H104" s="1">
        <v>301340</v>
      </c>
      <c r="I104" t="s">
        <v>694</v>
      </c>
      <c r="J104" t="str">
        <f t="shared" si="1"/>
        <v>&lt;img src="https://flagcdn.com/w40/it.png" alt="Italy flag"&gt;</v>
      </c>
    </row>
    <row r="105" spans="1:10" x14ac:dyDescent="0.25">
      <c r="A105" t="s">
        <v>549</v>
      </c>
      <c r="B105" t="s">
        <v>691</v>
      </c>
      <c r="C105" t="s">
        <v>208</v>
      </c>
      <c r="D105" t="s">
        <v>672</v>
      </c>
      <c r="E105" t="s">
        <v>451</v>
      </c>
      <c r="F105" t="s">
        <v>207</v>
      </c>
      <c r="G105" t="str">
        <f>_xlfn.XLOOKUP(F105,Sheet1!D:D,Sheet1!A:A)</f>
        <v>Asia</v>
      </c>
      <c r="H105" s="1">
        <v>377915</v>
      </c>
      <c r="I105" t="s">
        <v>694</v>
      </c>
      <c r="J105" t="str">
        <f t="shared" si="1"/>
        <v>&lt;img src="https://flagcdn.com/w40/jp.png" alt="Japan flag"&gt;</v>
      </c>
    </row>
    <row r="106" spans="1:10" x14ac:dyDescent="0.25">
      <c r="A106" t="s">
        <v>550</v>
      </c>
      <c r="B106" t="s">
        <v>691</v>
      </c>
      <c r="C106" t="s">
        <v>202</v>
      </c>
      <c r="D106" t="s">
        <v>669</v>
      </c>
      <c r="E106" t="s">
        <v>451</v>
      </c>
      <c r="F106" t="s">
        <v>201</v>
      </c>
      <c r="G106" t="str">
        <f>_xlfn.XLOOKUP(F106,Sheet1!D:D,Sheet1!A:A)</f>
        <v>Europe</v>
      </c>
      <c r="H106" s="1">
        <v>116</v>
      </c>
      <c r="I106" t="s">
        <v>695</v>
      </c>
      <c r="J106" t="str">
        <f t="shared" si="1"/>
        <v>&lt;img src="https://flagcdn.com/w40/je.png" alt="Jersey flag"&gt;</v>
      </c>
    </row>
    <row r="107" spans="1:10" x14ac:dyDescent="0.25">
      <c r="A107" t="s">
        <v>551</v>
      </c>
      <c r="B107" t="s">
        <v>691</v>
      </c>
      <c r="C107" t="s">
        <v>206</v>
      </c>
      <c r="D107" t="s">
        <v>668</v>
      </c>
      <c r="E107" t="s">
        <v>451</v>
      </c>
      <c r="F107" t="s">
        <v>205</v>
      </c>
      <c r="G107" t="str">
        <f>_xlfn.XLOOKUP(F107,Sheet1!D:D,Sheet1!A:A)</f>
        <v>Asia</v>
      </c>
      <c r="H107" s="1">
        <v>89342</v>
      </c>
      <c r="I107" t="s">
        <v>694</v>
      </c>
      <c r="J107" t="str">
        <f t="shared" si="1"/>
        <v>&lt;img src="https://flagcdn.com/w40/jo.png" alt="Jordan flag"&gt;</v>
      </c>
    </row>
    <row r="108" spans="1:10" x14ac:dyDescent="0.25">
      <c r="A108" t="s">
        <v>552</v>
      </c>
      <c r="B108" t="s">
        <v>670</v>
      </c>
      <c r="C108" t="s">
        <v>230</v>
      </c>
      <c r="D108" t="s">
        <v>668</v>
      </c>
      <c r="E108" t="s">
        <v>451</v>
      </c>
      <c r="F108" t="s">
        <v>229</v>
      </c>
      <c r="G108" t="str">
        <f>_xlfn.XLOOKUP(F108,Sheet1!D:D,Sheet1!A:A)</f>
        <v>Europe</v>
      </c>
      <c r="H108" s="1">
        <v>2724900</v>
      </c>
      <c r="I108" t="s">
        <v>694</v>
      </c>
      <c r="J108" t="str">
        <f t="shared" si="1"/>
        <v>&lt;img src="https://flagcdn.com/w40/kz.png" alt="Kazakhstan flag"&gt;</v>
      </c>
    </row>
    <row r="109" spans="1:10" x14ac:dyDescent="0.25">
      <c r="A109" t="s">
        <v>553</v>
      </c>
      <c r="B109" t="s">
        <v>670</v>
      </c>
      <c r="C109" t="s">
        <v>210</v>
      </c>
      <c r="D109" t="s">
        <v>681</v>
      </c>
      <c r="E109" t="s">
        <v>451</v>
      </c>
      <c r="F109" t="s">
        <v>209</v>
      </c>
      <c r="G109" t="str">
        <f>_xlfn.XLOOKUP(F109,Sheet1!D:D,Sheet1!A:A)</f>
        <v>Africa</v>
      </c>
      <c r="H109" s="1">
        <v>580367</v>
      </c>
      <c r="I109" t="s">
        <v>694</v>
      </c>
      <c r="J109" t="str">
        <f t="shared" si="1"/>
        <v>&lt;img src="https://flagcdn.com/w40/ke.png" alt="Kenya flag"&gt;</v>
      </c>
    </row>
    <row r="110" spans="1:10" x14ac:dyDescent="0.25">
      <c r="A110" t="s">
        <v>554</v>
      </c>
      <c r="B110" t="s">
        <v>670</v>
      </c>
      <c r="C110" t="s">
        <v>216</v>
      </c>
      <c r="D110" t="s">
        <v>672</v>
      </c>
      <c r="E110" t="s">
        <v>451</v>
      </c>
      <c r="F110" t="s">
        <v>215</v>
      </c>
      <c r="G110" t="str">
        <f>_xlfn.XLOOKUP(F110,Sheet1!D:D,Sheet1!A:A)</f>
        <v>Oceania</v>
      </c>
      <c r="H110" s="1">
        <v>811</v>
      </c>
      <c r="I110" t="s">
        <v>694</v>
      </c>
      <c r="J110" t="str">
        <f t="shared" si="1"/>
        <v>&lt;img src="https://flagcdn.com/w40/ki.png" alt="Kiribati flag"&gt;</v>
      </c>
    </row>
    <row r="111" spans="1:10" x14ac:dyDescent="0.25">
      <c r="A111" t="s">
        <v>226</v>
      </c>
      <c r="B111" t="s">
        <v>670</v>
      </c>
      <c r="C111" t="s">
        <v>705</v>
      </c>
      <c r="D111" t="s">
        <v>670</v>
      </c>
      <c r="E111" t="s">
        <v>451</v>
      </c>
      <c r="F111" t="s">
        <v>225</v>
      </c>
      <c r="G111" t="str">
        <f>_xlfn.XLOOKUP(F111,Sheet1!D:D,Sheet1!A:A)</f>
        <v>Asia</v>
      </c>
      <c r="H111" s="1">
        <v>17818</v>
      </c>
      <c r="I111" t="s">
        <v>694</v>
      </c>
      <c r="J111" t="str">
        <f t="shared" si="1"/>
        <v>&lt;img src="https://flagcdn.com/w40/kw.png" alt="Kuwait flag"&gt;</v>
      </c>
    </row>
    <row r="112" spans="1:10" x14ac:dyDescent="0.25">
      <c r="A112" t="s">
        <v>555</v>
      </c>
      <c r="B112" t="s">
        <v>670</v>
      </c>
      <c r="C112" t="s">
        <v>212</v>
      </c>
      <c r="D112" t="s">
        <v>675</v>
      </c>
      <c r="E112" t="s">
        <v>451</v>
      </c>
      <c r="F112" t="s">
        <v>211</v>
      </c>
      <c r="G112" t="str">
        <f>_xlfn.XLOOKUP(F112,Sheet1!D:D,Sheet1!A:A)</f>
        <v>Asia</v>
      </c>
      <c r="H112" s="1">
        <v>199951</v>
      </c>
      <c r="I112" t="s">
        <v>694</v>
      </c>
      <c r="J112" t="str">
        <f t="shared" si="1"/>
        <v>&lt;img src="https://flagcdn.com/w40/kg.png" alt="Kyrgyzstan flag"&gt;</v>
      </c>
    </row>
    <row r="113" spans="1:10" x14ac:dyDescent="0.25">
      <c r="A113" t="s">
        <v>556</v>
      </c>
      <c r="B113" t="s">
        <v>674</v>
      </c>
      <c r="C113" t="s">
        <v>232</v>
      </c>
      <c r="D113" t="s">
        <v>680</v>
      </c>
      <c r="E113" t="s">
        <v>451</v>
      </c>
      <c r="F113" t="s">
        <v>231</v>
      </c>
      <c r="G113" t="str">
        <f>_xlfn.XLOOKUP(F113,Sheet1!D:D,Sheet1!A:A)</f>
        <v>Asia</v>
      </c>
      <c r="H113" s="1">
        <v>236800</v>
      </c>
      <c r="I113" t="s">
        <v>694</v>
      </c>
      <c r="J113" t="str">
        <f t="shared" si="1"/>
        <v>&lt;img src="https://flagcdn.com/w40/la.png" alt="Laos flag"&gt;</v>
      </c>
    </row>
    <row r="114" spans="1:10" x14ac:dyDescent="0.25">
      <c r="A114" t="s">
        <v>557</v>
      </c>
      <c r="B114" t="s">
        <v>674</v>
      </c>
      <c r="C114" t="s">
        <v>249</v>
      </c>
      <c r="D114" t="s">
        <v>685</v>
      </c>
      <c r="E114" t="s">
        <v>451</v>
      </c>
      <c r="F114" t="s">
        <v>248</v>
      </c>
      <c r="G114" t="str">
        <f>_xlfn.XLOOKUP(F114,Sheet1!D:D,Sheet1!A:A)</f>
        <v>Europe</v>
      </c>
      <c r="H114" s="1">
        <v>64589</v>
      </c>
      <c r="I114" t="s">
        <v>694</v>
      </c>
      <c r="J114" t="str">
        <f t="shared" si="1"/>
        <v>&lt;img src="https://flagcdn.com/w40/lv.png" alt="Latvia flag"&gt;</v>
      </c>
    </row>
    <row r="115" spans="1:10" x14ac:dyDescent="0.25">
      <c r="A115" t="s">
        <v>558</v>
      </c>
      <c r="B115" t="s">
        <v>674</v>
      </c>
      <c r="C115" t="s">
        <v>234</v>
      </c>
      <c r="D115" t="s">
        <v>675</v>
      </c>
      <c r="E115" t="s">
        <v>451</v>
      </c>
      <c r="F115" t="s">
        <v>233</v>
      </c>
      <c r="G115" t="str">
        <f>_xlfn.XLOOKUP(F115,Sheet1!D:D,Sheet1!A:A)</f>
        <v>Asia</v>
      </c>
      <c r="H115" s="1">
        <v>10400</v>
      </c>
      <c r="I115" t="s">
        <v>694</v>
      </c>
      <c r="J115" t="str">
        <f t="shared" si="1"/>
        <v>&lt;img src="https://flagcdn.com/w40/lb.png" alt="Lebanon flag"&gt;</v>
      </c>
    </row>
    <row r="116" spans="1:10" x14ac:dyDescent="0.25">
      <c r="A116" t="s">
        <v>559</v>
      </c>
      <c r="B116" t="s">
        <v>674</v>
      </c>
      <c r="C116" t="s">
        <v>243</v>
      </c>
      <c r="D116" t="s">
        <v>682</v>
      </c>
      <c r="E116" t="s">
        <v>451</v>
      </c>
      <c r="F116" t="s">
        <v>242</v>
      </c>
      <c r="G116" t="str">
        <f>_xlfn.XLOOKUP(F116,Sheet1!D:D,Sheet1!A:A)</f>
        <v>Africa</v>
      </c>
      <c r="H116" s="1">
        <v>30355</v>
      </c>
      <c r="I116" t="s">
        <v>694</v>
      </c>
      <c r="J116" t="str">
        <f t="shared" si="1"/>
        <v>&lt;img src="https://flagcdn.com/w40/ls.png" alt="Lesotho flag"&gt;</v>
      </c>
    </row>
    <row r="117" spans="1:10" x14ac:dyDescent="0.25">
      <c r="A117" t="s">
        <v>560</v>
      </c>
      <c r="B117" t="s">
        <v>674</v>
      </c>
      <c r="C117" t="s">
        <v>241</v>
      </c>
      <c r="D117" t="s">
        <v>682</v>
      </c>
      <c r="E117" t="s">
        <v>451</v>
      </c>
      <c r="F117" t="s">
        <v>240</v>
      </c>
      <c r="G117" t="str">
        <f>_xlfn.XLOOKUP(F117,Sheet1!D:D,Sheet1!A:A)</f>
        <v>Africa</v>
      </c>
      <c r="H117" s="1">
        <v>111369</v>
      </c>
      <c r="I117" t="s">
        <v>694</v>
      </c>
      <c r="J117" t="str">
        <f t="shared" si="1"/>
        <v>&lt;img src="https://flagcdn.com/w40/lr.png" alt="Liberia flag"&gt;</v>
      </c>
    </row>
    <row r="118" spans="1:10" x14ac:dyDescent="0.25">
      <c r="A118" t="s">
        <v>561</v>
      </c>
      <c r="B118" t="s">
        <v>674</v>
      </c>
      <c r="C118" t="s">
        <v>251</v>
      </c>
      <c r="D118" t="s">
        <v>672</v>
      </c>
      <c r="E118" t="s">
        <v>451</v>
      </c>
      <c r="F118" t="s">
        <v>250</v>
      </c>
      <c r="G118" t="str">
        <f>_xlfn.XLOOKUP(F118,Sheet1!D:D,Sheet1!A:A)</f>
        <v>Africa</v>
      </c>
      <c r="H118" s="1">
        <v>1759540</v>
      </c>
      <c r="I118" t="s">
        <v>694</v>
      </c>
      <c r="J118" t="str">
        <f t="shared" si="1"/>
        <v>&lt;img src="https://flagcdn.com/w40/ly.png" alt="Libya flag"&gt;</v>
      </c>
    </row>
    <row r="119" spans="1:10" x14ac:dyDescent="0.25">
      <c r="A119" t="s">
        <v>562</v>
      </c>
      <c r="B119" t="s">
        <v>674</v>
      </c>
      <c r="C119" t="s">
        <v>238</v>
      </c>
      <c r="D119" t="s">
        <v>680</v>
      </c>
      <c r="E119" t="s">
        <v>451</v>
      </c>
      <c r="F119" t="s">
        <v>237</v>
      </c>
      <c r="G119" t="str">
        <f>_xlfn.XLOOKUP(F119,Sheet1!D:D,Sheet1!A:A)</f>
        <v>Europe</v>
      </c>
      <c r="H119" s="1">
        <v>160</v>
      </c>
      <c r="I119" t="s">
        <v>694</v>
      </c>
      <c r="J119" t="str">
        <f t="shared" si="1"/>
        <v>&lt;img src="https://flagcdn.com/w40/li.png" alt="Liechtenstein flag"&gt;</v>
      </c>
    </row>
    <row r="120" spans="1:10" x14ac:dyDescent="0.25">
      <c r="A120" t="s">
        <v>563</v>
      </c>
      <c r="B120" t="s">
        <v>674</v>
      </c>
      <c r="C120" t="s">
        <v>245</v>
      </c>
      <c r="D120" t="s">
        <v>680</v>
      </c>
      <c r="E120" t="s">
        <v>451</v>
      </c>
      <c r="F120" t="s">
        <v>244</v>
      </c>
      <c r="G120" t="str">
        <f>_xlfn.XLOOKUP(F120,Sheet1!D:D,Sheet1!A:A)</f>
        <v>Europe</v>
      </c>
      <c r="H120" s="1">
        <v>65300</v>
      </c>
      <c r="I120" t="s">
        <v>694</v>
      </c>
      <c r="J120" t="str">
        <f t="shared" si="1"/>
        <v>&lt;img src="https://flagcdn.com/w40/lt.png" alt="Lithuania flag"&gt;</v>
      </c>
    </row>
    <row r="121" spans="1:10" x14ac:dyDescent="0.25">
      <c r="A121" t="s">
        <v>247</v>
      </c>
      <c r="B121" t="s">
        <v>674</v>
      </c>
      <c r="C121" t="s">
        <v>247</v>
      </c>
      <c r="D121" t="s">
        <v>674</v>
      </c>
      <c r="E121" t="s">
        <v>451</v>
      </c>
      <c r="F121" t="s">
        <v>246</v>
      </c>
      <c r="G121" t="str">
        <f>_xlfn.XLOOKUP(F121,Sheet1!D:D,Sheet1!A:A)</f>
        <v>Europe</v>
      </c>
      <c r="H121" s="1">
        <v>2586</v>
      </c>
      <c r="I121" t="s">
        <v>694</v>
      </c>
      <c r="J121" t="str">
        <f t="shared" si="1"/>
        <v>&lt;img src="https://flagcdn.com/w40/lu.png" alt="Luxembourg flag"&gt;</v>
      </c>
    </row>
    <row r="122" spans="1:10" x14ac:dyDescent="0.25">
      <c r="A122" t="s">
        <v>564</v>
      </c>
      <c r="B122" t="s">
        <v>682</v>
      </c>
      <c r="C122" t="s">
        <v>267</v>
      </c>
      <c r="D122" t="s">
        <v>669</v>
      </c>
      <c r="E122" t="s">
        <v>451</v>
      </c>
      <c r="F122" t="s">
        <v>266</v>
      </c>
      <c r="G122" t="str">
        <f>_xlfn.XLOOKUP(F122,Sheet1!D:D,Sheet1!A:A)</f>
        <v>Europe</v>
      </c>
      <c r="H122" s="1">
        <v>25713</v>
      </c>
      <c r="I122" t="s">
        <v>694</v>
      </c>
      <c r="J122" t="str">
        <f t="shared" si="1"/>
        <v>&lt;img src="https://flagcdn.com/w40/mk.png" alt="Macedonia flag"&gt;</v>
      </c>
    </row>
    <row r="123" spans="1:10" x14ac:dyDescent="0.25">
      <c r="A123" t="s">
        <v>565</v>
      </c>
      <c r="B123" t="s">
        <v>682</v>
      </c>
      <c r="C123" t="s">
        <v>263</v>
      </c>
      <c r="D123" t="s">
        <v>668</v>
      </c>
      <c r="E123" t="s">
        <v>451</v>
      </c>
      <c r="F123" t="s">
        <v>262</v>
      </c>
      <c r="G123" t="str">
        <f>_xlfn.XLOOKUP(F123,Sheet1!D:D,Sheet1!A:A)</f>
        <v>Africa</v>
      </c>
      <c r="H123" s="1">
        <v>587041</v>
      </c>
      <c r="I123" t="s">
        <v>694</v>
      </c>
      <c r="J123" t="str">
        <f t="shared" si="1"/>
        <v>&lt;img src="https://flagcdn.com/w40/mg.png" alt="Madagascar flag"&gt;</v>
      </c>
    </row>
    <row r="124" spans="1:10" x14ac:dyDescent="0.25">
      <c r="A124" t="s">
        <v>566</v>
      </c>
      <c r="B124" t="s">
        <v>682</v>
      </c>
      <c r="C124" t="s">
        <v>286</v>
      </c>
      <c r="D124" t="s">
        <v>674</v>
      </c>
      <c r="E124" t="s">
        <v>451</v>
      </c>
      <c r="F124" t="s">
        <v>285</v>
      </c>
      <c r="G124" t="str">
        <f>_xlfn.XLOOKUP(F124,Sheet1!D:D,Sheet1!A:A)</f>
        <v>Africa</v>
      </c>
      <c r="H124" s="1">
        <v>118484</v>
      </c>
      <c r="I124" t="s">
        <v>694</v>
      </c>
      <c r="J124" t="str">
        <f t="shared" si="1"/>
        <v>&lt;img src="https://flagcdn.com/w40/mw.png" alt="Malawi flag"&gt;</v>
      </c>
    </row>
    <row r="125" spans="1:10" x14ac:dyDescent="0.25">
      <c r="A125" t="s">
        <v>567</v>
      </c>
      <c r="B125" t="s">
        <v>682</v>
      </c>
      <c r="C125" t="s">
        <v>290</v>
      </c>
      <c r="D125" t="s">
        <v>670</v>
      </c>
      <c r="E125" t="s">
        <v>451</v>
      </c>
      <c r="F125" t="s">
        <v>289</v>
      </c>
      <c r="G125" t="str">
        <f>_xlfn.XLOOKUP(F125,Sheet1!D:D,Sheet1!A:A)</f>
        <v>Asia</v>
      </c>
      <c r="H125" s="1">
        <v>329847</v>
      </c>
      <c r="I125" t="s">
        <v>694</v>
      </c>
      <c r="J125" t="str">
        <f t="shared" si="1"/>
        <v>&lt;img src="https://flagcdn.com/w40/my.png" alt="Malaysia flag"&gt;</v>
      </c>
    </row>
    <row r="126" spans="1:10" x14ac:dyDescent="0.25">
      <c r="A126" t="s">
        <v>568</v>
      </c>
      <c r="B126" t="s">
        <v>682</v>
      </c>
      <c r="C126" t="s">
        <v>284</v>
      </c>
      <c r="D126" t="s">
        <v>682</v>
      </c>
      <c r="E126" t="s">
        <v>451</v>
      </c>
      <c r="F126" t="s">
        <v>283</v>
      </c>
      <c r="G126" t="str">
        <f>_xlfn.XLOOKUP(F126,Sheet1!D:D,Sheet1!A:A)</f>
        <v>Asia</v>
      </c>
      <c r="H126" s="1">
        <v>298</v>
      </c>
      <c r="I126" t="s">
        <v>694</v>
      </c>
      <c r="J126" t="str">
        <f t="shared" si="1"/>
        <v>&lt;img src="https://flagcdn.com/w40/mv.png" alt="Maldives flag"&gt;</v>
      </c>
    </row>
    <row r="127" spans="1:10" x14ac:dyDescent="0.25">
      <c r="A127" t="s">
        <v>569</v>
      </c>
      <c r="B127" t="s">
        <v>682</v>
      </c>
      <c r="C127" t="s">
        <v>269</v>
      </c>
      <c r="D127" t="s">
        <v>675</v>
      </c>
      <c r="E127" t="s">
        <v>451</v>
      </c>
      <c r="F127" t="s">
        <v>268</v>
      </c>
      <c r="G127" t="str">
        <f>_xlfn.XLOOKUP(F127,Sheet1!D:D,Sheet1!A:A)</f>
        <v>Africa</v>
      </c>
      <c r="H127" s="1">
        <v>1240192</v>
      </c>
      <c r="I127" t="s">
        <v>694</v>
      </c>
      <c r="J127" t="str">
        <f t="shared" si="1"/>
        <v>&lt;img src="https://flagcdn.com/w40/ml.png" alt="Mali flag"&gt;</v>
      </c>
    </row>
    <row r="128" spans="1:10" x14ac:dyDescent="0.25">
      <c r="A128" t="s">
        <v>570</v>
      </c>
      <c r="B128" t="s">
        <v>682</v>
      </c>
      <c r="C128" t="s">
        <v>280</v>
      </c>
      <c r="D128" t="s">
        <v>680</v>
      </c>
      <c r="E128" t="s">
        <v>451</v>
      </c>
      <c r="F128" t="s">
        <v>279</v>
      </c>
      <c r="G128" t="str">
        <f>_xlfn.XLOOKUP(F128,Sheet1!D:D,Sheet1!A:A)</f>
        <v>Europe</v>
      </c>
      <c r="H128" s="1">
        <v>316</v>
      </c>
      <c r="I128" t="s">
        <v>694</v>
      </c>
      <c r="J128" t="str">
        <f t="shared" si="1"/>
        <v>&lt;img src="https://flagcdn.com/w40/mt.png" alt="Malta flag"&gt;</v>
      </c>
    </row>
    <row r="129" spans="1:10" x14ac:dyDescent="0.25">
      <c r="A129" t="s">
        <v>571</v>
      </c>
      <c r="B129" t="s">
        <v>682</v>
      </c>
      <c r="C129" t="s">
        <v>265</v>
      </c>
      <c r="D129" t="s">
        <v>682</v>
      </c>
      <c r="E129" t="s">
        <v>451</v>
      </c>
      <c r="F129" t="s">
        <v>264</v>
      </c>
      <c r="G129" t="str">
        <f>_xlfn.XLOOKUP(F129,Sheet1!D:D,Sheet1!A:A)</f>
        <v>Oceania</v>
      </c>
      <c r="H129" s="1">
        <v>181</v>
      </c>
      <c r="I129" t="s">
        <v>694</v>
      </c>
      <c r="J129" t="str">
        <f t="shared" si="1"/>
        <v>&lt;img src="https://flagcdn.com/w40/mh.png" alt="Marshall Islands flag"&gt;</v>
      </c>
    </row>
    <row r="130" spans="1:10" x14ac:dyDescent="0.25">
      <c r="A130" t="s">
        <v>572</v>
      </c>
      <c r="B130" t="s">
        <v>682</v>
      </c>
      <c r="C130" t="s">
        <v>276</v>
      </c>
      <c r="D130" t="s">
        <v>681</v>
      </c>
      <c r="E130" t="s">
        <v>451</v>
      </c>
      <c r="F130" t="s">
        <v>275</v>
      </c>
      <c r="G130" t="str">
        <f>_xlfn.XLOOKUP(F130,Sheet1!D:D,Sheet1!A:A)</f>
        <v>Africa</v>
      </c>
      <c r="H130" s="1">
        <v>1030700</v>
      </c>
      <c r="I130" t="s">
        <v>694</v>
      </c>
      <c r="J130" t="str">
        <f t="shared" ref="J130:J193" si="2">"&lt;img src=""https://flagcdn.com/w40/" &amp; LOWER(F130) &amp; ".png"" alt=""" &amp; A130 &amp; " flag""&gt;"</f>
        <v>&lt;img src="https://flagcdn.com/w40/mr.png" alt="Mauritania flag"&gt;</v>
      </c>
    </row>
    <row r="131" spans="1:10" x14ac:dyDescent="0.25">
      <c r="A131" t="s">
        <v>573</v>
      </c>
      <c r="B131" t="s">
        <v>682</v>
      </c>
      <c r="C131" t="s">
        <v>282</v>
      </c>
      <c r="D131" t="s">
        <v>673</v>
      </c>
      <c r="E131" t="s">
        <v>451</v>
      </c>
      <c r="F131" t="s">
        <v>281</v>
      </c>
      <c r="G131" t="str">
        <f>_xlfn.XLOOKUP(F131,Sheet1!D:D,Sheet1!A:A)</f>
        <v>Africa</v>
      </c>
      <c r="H131" s="1">
        <v>2040</v>
      </c>
      <c r="I131" t="s">
        <v>694</v>
      </c>
      <c r="J131" t="str">
        <f t="shared" si="2"/>
        <v>&lt;img src="https://flagcdn.com/w40/mu.png" alt="Mauritius flag"&gt;</v>
      </c>
    </row>
    <row r="132" spans="1:10" x14ac:dyDescent="0.25">
      <c r="A132" t="s">
        <v>574</v>
      </c>
      <c r="B132" t="s">
        <v>682</v>
      </c>
      <c r="C132" t="s">
        <v>288</v>
      </c>
      <c r="D132" t="s">
        <v>682</v>
      </c>
      <c r="E132" t="s">
        <v>451</v>
      </c>
      <c r="F132" t="s">
        <v>287</v>
      </c>
      <c r="G132" t="str">
        <f>_xlfn.XLOOKUP(F132,Sheet1!D:D,Sheet1!A:A)</f>
        <v>North America</v>
      </c>
      <c r="H132" s="1">
        <v>1964375</v>
      </c>
      <c r="I132" t="s">
        <v>694</v>
      </c>
      <c r="J132" t="str">
        <f t="shared" si="2"/>
        <v>&lt;img src="https://flagcdn.com/w40/mx.png" alt="Mexico flag"&gt;</v>
      </c>
    </row>
    <row r="133" spans="1:10" x14ac:dyDescent="0.25">
      <c r="A133" t="s">
        <v>575</v>
      </c>
      <c r="B133" t="s">
        <v>682</v>
      </c>
      <c r="C133" t="s">
        <v>257</v>
      </c>
      <c r="D133" t="s">
        <v>679</v>
      </c>
      <c r="E133" t="s">
        <v>451</v>
      </c>
      <c r="F133" t="s">
        <v>256</v>
      </c>
      <c r="G133" t="str">
        <f>_xlfn.XLOOKUP(F133,Sheet1!D:D,Sheet1!A:A)</f>
        <v>Europe</v>
      </c>
      <c r="H133" s="1">
        <v>33851</v>
      </c>
      <c r="I133" t="s">
        <v>694</v>
      </c>
      <c r="J133" t="str">
        <f t="shared" si="2"/>
        <v>&lt;img src="https://flagcdn.com/w40/md.png" alt="Moldova flag"&gt;</v>
      </c>
    </row>
    <row r="134" spans="1:10" x14ac:dyDescent="0.25">
      <c r="A134" t="s">
        <v>255</v>
      </c>
      <c r="B134" t="s">
        <v>682</v>
      </c>
      <c r="C134" t="s">
        <v>255</v>
      </c>
      <c r="D134" t="s">
        <v>682</v>
      </c>
      <c r="E134" t="s">
        <v>451</v>
      </c>
      <c r="F134" t="s">
        <v>254</v>
      </c>
      <c r="G134" t="str">
        <f>_xlfn.XLOOKUP(F134,Sheet1!D:D,Sheet1!A:A)</f>
        <v>Europe</v>
      </c>
      <c r="H134" s="1">
        <v>2</v>
      </c>
      <c r="I134" t="s">
        <v>694</v>
      </c>
      <c r="J134" t="str">
        <f t="shared" si="2"/>
        <v>&lt;img src="https://flagcdn.com/w40/mc.png" alt="Monaco flag"&gt;</v>
      </c>
    </row>
    <row r="135" spans="1:10" x14ac:dyDescent="0.25">
      <c r="A135" t="s">
        <v>576</v>
      </c>
      <c r="B135" t="s">
        <v>682</v>
      </c>
      <c r="C135" t="s">
        <v>272</v>
      </c>
      <c r="D135" t="s">
        <v>692</v>
      </c>
      <c r="E135" t="s">
        <v>451</v>
      </c>
      <c r="F135" t="s">
        <v>271</v>
      </c>
      <c r="G135" t="str">
        <f>_xlfn.XLOOKUP(F135,Sheet1!D:D,Sheet1!A:A)</f>
        <v>Asia</v>
      </c>
      <c r="H135" s="1">
        <v>1564116</v>
      </c>
      <c r="I135" t="s">
        <v>694</v>
      </c>
      <c r="J135" t="str">
        <f t="shared" si="2"/>
        <v>&lt;img src="https://flagcdn.com/w40/mn.png" alt="Mongolia flag"&gt;</v>
      </c>
    </row>
    <row r="136" spans="1:10" x14ac:dyDescent="0.25">
      <c r="A136" t="s">
        <v>577</v>
      </c>
      <c r="B136" t="s">
        <v>682</v>
      </c>
      <c r="C136" t="s">
        <v>259</v>
      </c>
      <c r="D136" t="s">
        <v>673</v>
      </c>
      <c r="E136" t="s">
        <v>451</v>
      </c>
      <c r="F136" t="s">
        <v>258</v>
      </c>
      <c r="G136" t="str">
        <f>_xlfn.XLOOKUP(F136,Sheet1!D:D,Sheet1!A:A)</f>
        <v>Europe</v>
      </c>
      <c r="H136" s="1">
        <v>13812</v>
      </c>
      <c r="I136" t="s">
        <v>694</v>
      </c>
      <c r="J136" t="str">
        <f t="shared" si="2"/>
        <v>&lt;img src="https://flagcdn.com/w40/me.png" alt="Montenegro flag"&gt;</v>
      </c>
    </row>
    <row r="137" spans="1:10" x14ac:dyDescent="0.25">
      <c r="A137" t="s">
        <v>578</v>
      </c>
      <c r="B137" t="s">
        <v>682</v>
      </c>
      <c r="C137" t="s">
        <v>278</v>
      </c>
      <c r="D137" t="s">
        <v>673</v>
      </c>
      <c r="E137" t="s">
        <v>451</v>
      </c>
      <c r="F137" t="s">
        <v>277</v>
      </c>
      <c r="G137" t="str">
        <f>_xlfn.XLOOKUP(F137,Sheet1!D:D,Sheet1!A:A)</f>
        <v>North America</v>
      </c>
      <c r="H137" s="1">
        <v>102</v>
      </c>
      <c r="I137" t="s">
        <v>695</v>
      </c>
      <c r="J137" t="str">
        <f t="shared" si="2"/>
        <v>&lt;img src="https://flagcdn.com/w40/ms.png" alt="Montserrat flag"&gt;</v>
      </c>
    </row>
    <row r="138" spans="1:10" x14ac:dyDescent="0.25">
      <c r="A138" t="s">
        <v>579</v>
      </c>
      <c r="B138" t="s">
        <v>682</v>
      </c>
      <c r="C138" t="s">
        <v>253</v>
      </c>
      <c r="D138" t="s">
        <v>685</v>
      </c>
      <c r="E138" t="s">
        <v>451</v>
      </c>
      <c r="F138" t="s">
        <v>252</v>
      </c>
      <c r="G138" t="str">
        <f>_xlfn.XLOOKUP(F138,Sheet1!D:D,Sheet1!A:A)</f>
        <v>Africa</v>
      </c>
      <c r="H138" s="1">
        <v>446550</v>
      </c>
      <c r="I138" t="s">
        <v>694</v>
      </c>
      <c r="J138" t="str">
        <f t="shared" si="2"/>
        <v>&lt;img src="https://flagcdn.com/w40/ma.png" alt="Morocco flag"&gt;</v>
      </c>
    </row>
    <row r="139" spans="1:10" x14ac:dyDescent="0.25">
      <c r="A139" t="s">
        <v>580</v>
      </c>
      <c r="B139" t="s">
        <v>682</v>
      </c>
      <c r="C139" t="s">
        <v>292</v>
      </c>
      <c r="D139" t="s">
        <v>682</v>
      </c>
      <c r="E139" t="s">
        <v>451</v>
      </c>
      <c r="F139" t="s">
        <v>291</v>
      </c>
      <c r="G139" t="str">
        <f>_xlfn.XLOOKUP(F139,Sheet1!D:D,Sheet1!A:A)</f>
        <v>Africa</v>
      </c>
      <c r="H139" s="1">
        <v>799380</v>
      </c>
      <c r="I139" t="s">
        <v>694</v>
      </c>
      <c r="J139" t="str">
        <f t="shared" si="2"/>
        <v>&lt;img src="https://flagcdn.com/w40/mz.png" alt="Mozambique flag"&gt;</v>
      </c>
    </row>
    <row r="140" spans="1:10" x14ac:dyDescent="0.25">
      <c r="A140" t="s">
        <v>581</v>
      </c>
      <c r="B140" t="s">
        <v>682</v>
      </c>
      <c r="C140" t="s">
        <v>582</v>
      </c>
      <c r="D140" t="s">
        <v>681</v>
      </c>
      <c r="E140" t="s">
        <v>451</v>
      </c>
      <c r="F140" t="s">
        <v>270</v>
      </c>
      <c r="G140" t="str">
        <f>_xlfn.XLOOKUP(F140,Sheet1!D:D,Sheet1!A:A)</f>
        <v>Asia</v>
      </c>
      <c r="H140" s="1">
        <v>676578</v>
      </c>
      <c r="I140" t="s">
        <v>694</v>
      </c>
      <c r="J140" t="str">
        <f t="shared" si="2"/>
        <v>&lt;img src="https://flagcdn.com/w40/mm.png" alt="Myanmar flag"&gt;</v>
      </c>
    </row>
    <row r="141" spans="1:10" x14ac:dyDescent="0.25">
      <c r="A141" t="s">
        <v>583</v>
      </c>
      <c r="B141" t="s">
        <v>681</v>
      </c>
      <c r="C141" t="s">
        <v>294</v>
      </c>
      <c r="D141" t="s">
        <v>687</v>
      </c>
      <c r="E141" t="s">
        <v>451</v>
      </c>
      <c r="F141" t="s">
        <v>293</v>
      </c>
      <c r="G141" t="str">
        <f>_xlfn.XLOOKUP(F141,Sheet1!D:D,Sheet1!A:A)</f>
        <v>Africa</v>
      </c>
      <c r="H141" s="1">
        <v>824292</v>
      </c>
      <c r="I141" t="s">
        <v>694</v>
      </c>
      <c r="J141" t="str">
        <f t="shared" si="2"/>
        <v>&lt;img src="https://flagcdn.com/w40/na.png" alt="Namibia flag"&gt;</v>
      </c>
    </row>
    <row r="142" spans="1:10" x14ac:dyDescent="0.25">
      <c r="A142" t="s">
        <v>584</v>
      </c>
      <c r="B142" t="s">
        <v>681</v>
      </c>
      <c r="C142" t="s">
        <v>310</v>
      </c>
      <c r="D142" t="s">
        <v>676</v>
      </c>
      <c r="E142" t="s">
        <v>451</v>
      </c>
      <c r="F142" t="s">
        <v>309</v>
      </c>
      <c r="G142" t="str">
        <f>_xlfn.XLOOKUP(F142,Sheet1!D:D,Sheet1!A:A)</f>
        <v>Oceania</v>
      </c>
      <c r="H142" s="1">
        <v>21</v>
      </c>
      <c r="I142" t="s">
        <v>694</v>
      </c>
      <c r="J142" t="str">
        <f t="shared" si="2"/>
        <v>&lt;img src="https://flagcdn.com/w40/nr.png" alt="Nauru flag"&gt;</v>
      </c>
    </row>
    <row r="143" spans="1:10" x14ac:dyDescent="0.25">
      <c r="A143" t="s">
        <v>585</v>
      </c>
      <c r="B143" t="s">
        <v>681</v>
      </c>
      <c r="C143" t="s">
        <v>308</v>
      </c>
      <c r="D143" t="s">
        <v>670</v>
      </c>
      <c r="E143" t="s">
        <v>451</v>
      </c>
      <c r="F143" t="s">
        <v>307</v>
      </c>
      <c r="G143" t="str">
        <f>_xlfn.XLOOKUP(F143,Sheet1!D:D,Sheet1!A:A)</f>
        <v>Asia</v>
      </c>
      <c r="H143" s="1">
        <v>147181</v>
      </c>
      <c r="I143" t="s">
        <v>694</v>
      </c>
      <c r="J143" t="str">
        <f t="shared" si="2"/>
        <v>&lt;img src="https://flagcdn.com/w40/np.png" alt="Nepal flag"&gt;</v>
      </c>
    </row>
    <row r="144" spans="1:10" x14ac:dyDescent="0.25">
      <c r="A144" t="s">
        <v>586</v>
      </c>
      <c r="B144" t="s">
        <v>681</v>
      </c>
      <c r="C144" t="s">
        <v>304</v>
      </c>
      <c r="D144" t="s">
        <v>668</v>
      </c>
      <c r="E144" t="s">
        <v>451</v>
      </c>
      <c r="F144" t="s">
        <v>303</v>
      </c>
      <c r="G144" t="str">
        <f>_xlfn.XLOOKUP(F144,Sheet1!D:D,Sheet1!A:A)</f>
        <v>Europe</v>
      </c>
      <c r="H144" s="1">
        <v>41543</v>
      </c>
      <c r="I144" t="s">
        <v>694</v>
      </c>
      <c r="J144" t="str">
        <f t="shared" si="2"/>
        <v>&lt;img src="https://flagcdn.com/w40/nl.png" alt="Netherlands flag"&gt;</v>
      </c>
    </row>
    <row r="145" spans="1:10" x14ac:dyDescent="0.25">
      <c r="A145" t="s">
        <v>587</v>
      </c>
      <c r="B145" t="s">
        <v>681</v>
      </c>
      <c r="C145" t="s">
        <v>296</v>
      </c>
      <c r="D145" t="s">
        <v>681</v>
      </c>
      <c r="E145" t="s">
        <v>451</v>
      </c>
      <c r="F145" t="s">
        <v>295</v>
      </c>
      <c r="G145" t="str">
        <f>_xlfn.XLOOKUP(F145,Sheet1!D:D,Sheet1!A:A)</f>
        <v>Oceania</v>
      </c>
      <c r="H145" s="1">
        <v>18575</v>
      </c>
      <c r="I145" t="s">
        <v>695</v>
      </c>
      <c r="J145" t="str">
        <f t="shared" si="2"/>
        <v>&lt;img src="https://flagcdn.com/w40/nc.png" alt="New Caledonia flag"&gt;</v>
      </c>
    </row>
    <row r="146" spans="1:10" x14ac:dyDescent="0.25">
      <c r="A146" t="s">
        <v>588</v>
      </c>
      <c r="B146" t="s">
        <v>681</v>
      </c>
      <c r="C146" t="s">
        <v>314</v>
      </c>
      <c r="D146" t="s">
        <v>687</v>
      </c>
      <c r="E146" t="s">
        <v>451</v>
      </c>
      <c r="F146" t="s">
        <v>313</v>
      </c>
      <c r="G146" t="str">
        <f>_xlfn.XLOOKUP(F146,Sheet1!D:D,Sheet1!A:A)</f>
        <v>Oceania</v>
      </c>
      <c r="H146" s="1">
        <v>267710</v>
      </c>
      <c r="I146" t="s">
        <v>694</v>
      </c>
      <c r="J146" t="str">
        <f t="shared" si="2"/>
        <v>&lt;img src="https://flagcdn.com/w40/nz.png" alt="New Zealand flag"&gt;</v>
      </c>
    </row>
    <row r="147" spans="1:10" x14ac:dyDescent="0.25">
      <c r="A147" t="s">
        <v>589</v>
      </c>
      <c r="B147" t="s">
        <v>681</v>
      </c>
      <c r="C147" t="s">
        <v>302</v>
      </c>
      <c r="D147" t="s">
        <v>682</v>
      </c>
      <c r="E147" t="s">
        <v>451</v>
      </c>
      <c r="F147" t="s">
        <v>301</v>
      </c>
      <c r="G147" t="str">
        <f>_xlfn.XLOOKUP(F147,Sheet1!D:D,Sheet1!A:A)</f>
        <v>North America</v>
      </c>
      <c r="H147" s="1">
        <v>130370</v>
      </c>
      <c r="I147" t="s">
        <v>694</v>
      </c>
      <c r="J147" t="str">
        <f t="shared" si="2"/>
        <v>&lt;img src="https://flagcdn.com/w40/ni.png" alt="Nicaragua flag"&gt;</v>
      </c>
    </row>
    <row r="148" spans="1:10" x14ac:dyDescent="0.25">
      <c r="A148" t="s">
        <v>590</v>
      </c>
      <c r="B148" t="s">
        <v>681</v>
      </c>
      <c r="C148" t="s">
        <v>298</v>
      </c>
      <c r="D148" t="s">
        <v>681</v>
      </c>
      <c r="E148" t="s">
        <v>451</v>
      </c>
      <c r="F148" t="s">
        <v>297</v>
      </c>
      <c r="G148" t="str">
        <f>_xlfn.XLOOKUP(F148,Sheet1!D:D,Sheet1!A:A)</f>
        <v>Africa</v>
      </c>
      <c r="H148" s="1">
        <v>1186408</v>
      </c>
      <c r="I148" t="s">
        <v>694</v>
      </c>
      <c r="J148" t="str">
        <f t="shared" si="2"/>
        <v>&lt;img src="https://flagcdn.com/w40/ne.png" alt="Niger flag"&gt;</v>
      </c>
    </row>
    <row r="149" spans="1:10" x14ac:dyDescent="0.25">
      <c r="A149" t="s">
        <v>591</v>
      </c>
      <c r="B149" t="s">
        <v>681</v>
      </c>
      <c r="C149" t="s">
        <v>300</v>
      </c>
      <c r="D149" t="s">
        <v>668</v>
      </c>
      <c r="E149" t="s">
        <v>451</v>
      </c>
      <c r="F149" t="s">
        <v>299</v>
      </c>
      <c r="G149" t="str">
        <f>_xlfn.XLOOKUP(F149,Sheet1!D:D,Sheet1!A:A)</f>
        <v>Africa</v>
      </c>
      <c r="H149" s="1">
        <v>923768</v>
      </c>
      <c r="I149" t="s">
        <v>694</v>
      </c>
      <c r="J149" t="str">
        <f t="shared" si="2"/>
        <v>&lt;img src="https://flagcdn.com/w40/ng.png" alt="Nigeria flag"&gt;</v>
      </c>
    </row>
    <row r="150" spans="1:10" x14ac:dyDescent="0.25">
      <c r="A150" t="s">
        <v>592</v>
      </c>
      <c r="B150" t="s">
        <v>681</v>
      </c>
      <c r="C150" t="s">
        <v>312</v>
      </c>
      <c r="D150" t="s">
        <v>668</v>
      </c>
      <c r="E150" t="s">
        <v>451</v>
      </c>
      <c r="F150" t="s">
        <v>311</v>
      </c>
      <c r="G150" t="str">
        <f>_xlfn.XLOOKUP(F150,Sheet1!D:D,Sheet1!A:A)</f>
        <v>Oceania</v>
      </c>
      <c r="H150" s="1">
        <v>260</v>
      </c>
      <c r="I150" t="s">
        <v>695</v>
      </c>
      <c r="J150" t="str">
        <f t="shared" si="2"/>
        <v>&lt;img src="https://flagcdn.com/w40/nu.png" alt="Niue flag"&gt;</v>
      </c>
    </row>
    <row r="151" spans="1:10" x14ac:dyDescent="0.25">
      <c r="A151" t="s">
        <v>594</v>
      </c>
      <c r="B151" t="s">
        <v>681</v>
      </c>
      <c r="C151" t="s">
        <v>222</v>
      </c>
      <c r="D151" t="s">
        <v>673</v>
      </c>
      <c r="E151" t="s">
        <v>451</v>
      </c>
      <c r="F151" t="s">
        <v>221</v>
      </c>
      <c r="G151" t="str">
        <f>_xlfn.XLOOKUP(F151,Sheet1!D:D,Sheet1!A:A)</f>
        <v>Asia</v>
      </c>
      <c r="H151" s="1">
        <v>120538</v>
      </c>
      <c r="I151" t="s">
        <v>694</v>
      </c>
      <c r="J151" t="str">
        <f t="shared" si="2"/>
        <v>&lt;img src="https://flagcdn.com/w40/kp.png" alt="North Korea flag"&gt;</v>
      </c>
    </row>
    <row r="152" spans="1:10" x14ac:dyDescent="0.25">
      <c r="A152" t="s">
        <v>595</v>
      </c>
      <c r="B152" t="s">
        <v>681</v>
      </c>
      <c r="C152" t="s">
        <v>274</v>
      </c>
      <c r="D152" t="s">
        <v>669</v>
      </c>
      <c r="E152" t="s">
        <v>451</v>
      </c>
      <c r="F152" t="s">
        <v>273</v>
      </c>
      <c r="G152" t="str">
        <f>_xlfn.XLOOKUP(F152,Sheet1!D:D,Sheet1!A:A)</f>
        <v>Oceania</v>
      </c>
      <c r="H152" s="1">
        <v>464</v>
      </c>
      <c r="I152" t="s">
        <v>695</v>
      </c>
      <c r="J152" t="str">
        <f t="shared" si="2"/>
        <v>&lt;img src="https://flagcdn.com/w40/mp.png" alt="Northern Mariana Islands flag"&gt;</v>
      </c>
    </row>
    <row r="153" spans="1:10" x14ac:dyDescent="0.25">
      <c r="A153" t="s">
        <v>596</v>
      </c>
      <c r="B153" t="s">
        <v>681</v>
      </c>
      <c r="C153" t="s">
        <v>306</v>
      </c>
      <c r="D153" t="s">
        <v>677</v>
      </c>
      <c r="E153" t="s">
        <v>451</v>
      </c>
      <c r="F153" t="s">
        <v>305</v>
      </c>
      <c r="G153" t="str">
        <f>_xlfn.XLOOKUP(F153,Sheet1!D:D,Sheet1!A:A)</f>
        <v>Europe</v>
      </c>
      <c r="H153" s="1">
        <v>323802</v>
      </c>
      <c r="I153" t="s">
        <v>694</v>
      </c>
      <c r="J153" t="str">
        <f t="shared" si="2"/>
        <v>&lt;img src="https://flagcdn.com/w40/no.png" alt="Norway flag"&gt;</v>
      </c>
    </row>
    <row r="154" spans="1:10" x14ac:dyDescent="0.25">
      <c r="A154" t="s">
        <v>597</v>
      </c>
      <c r="B154" t="s">
        <v>677</v>
      </c>
      <c r="C154" t="s">
        <v>316</v>
      </c>
      <c r="D154" t="s">
        <v>682</v>
      </c>
      <c r="E154" t="s">
        <v>451</v>
      </c>
      <c r="F154" t="s">
        <v>315</v>
      </c>
      <c r="G154" t="str">
        <f>_xlfn.XLOOKUP(F154,Sheet1!D:D,Sheet1!A:A)</f>
        <v>Asia</v>
      </c>
      <c r="H154" s="1">
        <v>309500</v>
      </c>
      <c r="I154" t="s">
        <v>694</v>
      </c>
      <c r="J154" t="str">
        <f t="shared" si="2"/>
        <v>&lt;img src="https://flagcdn.com/w40/om.png" alt="Oman flag"&gt;</v>
      </c>
    </row>
    <row r="155" spans="1:10" x14ac:dyDescent="0.25">
      <c r="A155" t="s">
        <v>598</v>
      </c>
      <c r="B155" t="s">
        <v>673</v>
      </c>
      <c r="C155" t="s">
        <v>328</v>
      </c>
      <c r="D155" t="s">
        <v>690</v>
      </c>
      <c r="E155" t="s">
        <v>451</v>
      </c>
      <c r="F155" t="s">
        <v>327</v>
      </c>
      <c r="G155" t="str">
        <f>_xlfn.XLOOKUP(F155,Sheet1!D:D,Sheet1!A:A)</f>
        <v>Asia</v>
      </c>
      <c r="H155" s="1">
        <v>796095</v>
      </c>
      <c r="I155" t="s">
        <v>694</v>
      </c>
      <c r="J155" t="str">
        <f t="shared" si="2"/>
        <v>&lt;img src="https://flagcdn.com/w40/pk.png" alt="Pakistan flag"&gt;</v>
      </c>
    </row>
    <row r="156" spans="1:10" x14ac:dyDescent="0.25">
      <c r="A156" t="s">
        <v>599</v>
      </c>
      <c r="B156" t="s">
        <v>673</v>
      </c>
      <c r="C156" t="s">
        <v>697</v>
      </c>
      <c r="D156" t="s">
        <v>681</v>
      </c>
      <c r="E156" t="s">
        <v>451</v>
      </c>
      <c r="F156" t="s">
        <v>337</v>
      </c>
      <c r="G156" t="str">
        <f>_xlfn.XLOOKUP(F156,Sheet1!D:D,Sheet1!A:A)</f>
        <v>Oceania</v>
      </c>
      <c r="H156" s="1">
        <v>459</v>
      </c>
      <c r="I156" t="s">
        <v>694</v>
      </c>
      <c r="J156" t="str">
        <f t="shared" si="2"/>
        <v>&lt;img src="https://flagcdn.com/w40/pw.png" alt="Palau flag"&gt;</v>
      </c>
    </row>
    <row r="157" spans="1:10" x14ac:dyDescent="0.25">
      <c r="A157" t="s">
        <v>600</v>
      </c>
      <c r="B157" t="s">
        <v>673</v>
      </c>
      <c r="C157" t="s">
        <v>1657</v>
      </c>
      <c r="D157" t="s">
        <v>685</v>
      </c>
      <c r="E157" t="s">
        <v>451</v>
      </c>
      <c r="F157" t="s">
        <v>188</v>
      </c>
      <c r="G157" t="str">
        <f>_xlfn.XLOOKUP(F157,Sheet1!D:D,Sheet1!A:A)</f>
        <v>Asia</v>
      </c>
      <c r="H157" s="1">
        <v>20770</v>
      </c>
      <c r="I157" t="s">
        <v>695</v>
      </c>
      <c r="J157" t="str">
        <f t="shared" si="2"/>
        <v>&lt;img src="https://flagcdn.com/w40/il.png" alt="Palestine flag"&gt;</v>
      </c>
    </row>
    <row r="158" spans="1:10" x14ac:dyDescent="0.25">
      <c r="A158" t="s">
        <v>318</v>
      </c>
      <c r="B158" t="s">
        <v>673</v>
      </c>
      <c r="C158" t="s">
        <v>601</v>
      </c>
      <c r="D158" t="s">
        <v>673</v>
      </c>
      <c r="E158" t="s">
        <v>451</v>
      </c>
      <c r="F158" t="s">
        <v>317</v>
      </c>
      <c r="G158" t="str">
        <f>_xlfn.XLOOKUP(F158,Sheet1!D:D,Sheet1!A:A)</f>
        <v>North America</v>
      </c>
      <c r="H158" s="1">
        <v>75420</v>
      </c>
      <c r="I158" t="s">
        <v>694</v>
      </c>
      <c r="J158" t="str">
        <f t="shared" si="2"/>
        <v>&lt;img src="https://flagcdn.com/w40/pa.png" alt="Panama flag"&gt;</v>
      </c>
    </row>
    <row r="159" spans="1:10" x14ac:dyDescent="0.25">
      <c r="A159" t="s">
        <v>602</v>
      </c>
      <c r="B159" t="s">
        <v>673</v>
      </c>
      <c r="C159" t="s">
        <v>324</v>
      </c>
      <c r="D159" t="s">
        <v>673</v>
      </c>
      <c r="E159" t="s">
        <v>451</v>
      </c>
      <c r="F159" t="s">
        <v>323</v>
      </c>
      <c r="G159" t="str">
        <f>_xlfn.XLOOKUP(F159,Sheet1!D:D,Sheet1!A:A)</f>
        <v>Oceania</v>
      </c>
      <c r="H159" s="1">
        <v>462840</v>
      </c>
      <c r="I159" t="s">
        <v>694</v>
      </c>
      <c r="J159" t="str">
        <f t="shared" si="2"/>
        <v>&lt;img src="https://flagcdn.com/w40/pg.png" alt="Papua New Guinea flag"&gt;</v>
      </c>
    </row>
    <row r="160" spans="1:10" x14ac:dyDescent="0.25">
      <c r="A160" t="s">
        <v>603</v>
      </c>
      <c r="B160" t="s">
        <v>673</v>
      </c>
      <c r="C160" t="s">
        <v>339</v>
      </c>
      <c r="D160" t="s">
        <v>668</v>
      </c>
      <c r="E160" t="s">
        <v>451</v>
      </c>
      <c r="F160" t="s">
        <v>338</v>
      </c>
      <c r="G160" t="str">
        <f>_xlfn.XLOOKUP(F160,Sheet1!D:D,Sheet1!A:A)</f>
        <v>South America</v>
      </c>
      <c r="H160" s="1">
        <v>406752</v>
      </c>
      <c r="I160" t="s">
        <v>694</v>
      </c>
      <c r="J160" t="str">
        <f t="shared" si="2"/>
        <v>&lt;img src="https://flagcdn.com/w40/py.png" alt="Paraguay flag"&gt;</v>
      </c>
    </row>
    <row r="161" spans="1:10" x14ac:dyDescent="0.25">
      <c r="A161" t="s">
        <v>604</v>
      </c>
      <c r="B161" t="s">
        <v>673</v>
      </c>
      <c r="C161" t="s">
        <v>320</v>
      </c>
      <c r="D161" t="s">
        <v>674</v>
      </c>
      <c r="E161" t="s">
        <v>451</v>
      </c>
      <c r="F161" t="s">
        <v>319</v>
      </c>
      <c r="G161" t="str">
        <f>_xlfn.XLOOKUP(F161,Sheet1!D:D,Sheet1!A:A)</f>
        <v>South America</v>
      </c>
      <c r="H161" s="1">
        <v>1285216</v>
      </c>
      <c r="I161" t="s">
        <v>694</v>
      </c>
      <c r="J161" t="str">
        <f t="shared" si="2"/>
        <v>&lt;img src="https://flagcdn.com/w40/pe.png" alt="Peru flag"&gt;</v>
      </c>
    </row>
    <row r="162" spans="1:10" x14ac:dyDescent="0.25">
      <c r="A162" t="s">
        <v>605</v>
      </c>
      <c r="B162" t="s">
        <v>673</v>
      </c>
      <c r="C162" t="s">
        <v>326</v>
      </c>
      <c r="D162" t="s">
        <v>682</v>
      </c>
      <c r="E162" t="s">
        <v>451</v>
      </c>
      <c r="F162" t="s">
        <v>325</v>
      </c>
      <c r="G162" t="str">
        <f>_xlfn.XLOOKUP(F162,Sheet1!D:D,Sheet1!A:A)</f>
        <v>Asia</v>
      </c>
      <c r="H162" s="1">
        <v>300000</v>
      </c>
      <c r="I162" t="s">
        <v>694</v>
      </c>
      <c r="J162" t="str">
        <f t="shared" si="2"/>
        <v>&lt;img src="https://flagcdn.com/w40/ph.png" alt="Philippines flag"&gt;</v>
      </c>
    </row>
    <row r="163" spans="1:10" x14ac:dyDescent="0.25">
      <c r="A163" t="s">
        <v>606</v>
      </c>
      <c r="B163" t="s">
        <v>673</v>
      </c>
      <c r="C163" t="s">
        <v>332</v>
      </c>
      <c r="D163" t="s">
        <v>668</v>
      </c>
      <c r="E163" t="s">
        <v>451</v>
      </c>
      <c r="F163" t="s">
        <v>331</v>
      </c>
      <c r="G163" t="str">
        <f>_xlfn.XLOOKUP(F163,Sheet1!D:D,Sheet1!A:A)</f>
        <v>Oceania</v>
      </c>
      <c r="H163" s="1">
        <v>47</v>
      </c>
      <c r="I163" t="s">
        <v>695</v>
      </c>
      <c r="J163" t="str">
        <f t="shared" si="2"/>
        <v>&lt;img src="https://flagcdn.com/w40/pn.png" alt="Pitcairn Islands flag"&gt;</v>
      </c>
    </row>
    <row r="164" spans="1:10" x14ac:dyDescent="0.25">
      <c r="A164" t="s">
        <v>607</v>
      </c>
      <c r="B164" t="s">
        <v>673</v>
      </c>
      <c r="C164" t="s">
        <v>330</v>
      </c>
      <c r="D164" t="s">
        <v>687</v>
      </c>
      <c r="E164" t="s">
        <v>451</v>
      </c>
      <c r="F164" t="s">
        <v>329</v>
      </c>
      <c r="G164" t="str">
        <f>_xlfn.XLOOKUP(F164,Sheet1!D:D,Sheet1!A:A)</f>
        <v>Europe</v>
      </c>
      <c r="H164" s="1">
        <v>312685</v>
      </c>
      <c r="I164" t="s">
        <v>694</v>
      </c>
      <c r="J164" t="str">
        <f t="shared" si="2"/>
        <v>&lt;img src="https://flagcdn.com/w40/pl.png" alt="Poland flag"&gt;</v>
      </c>
    </row>
    <row r="165" spans="1:10" x14ac:dyDescent="0.25">
      <c r="A165" t="s">
        <v>608</v>
      </c>
      <c r="B165" t="s">
        <v>673</v>
      </c>
      <c r="C165" t="s">
        <v>336</v>
      </c>
      <c r="D165" t="s">
        <v>674</v>
      </c>
      <c r="E165" t="s">
        <v>451</v>
      </c>
      <c r="F165" t="s">
        <v>335</v>
      </c>
      <c r="G165" t="str">
        <f>_xlfn.XLOOKUP(F165,Sheet1!D:D,Sheet1!A:A)</f>
        <v>Europe</v>
      </c>
      <c r="H165" s="1">
        <v>92090</v>
      </c>
      <c r="I165" t="s">
        <v>694</v>
      </c>
      <c r="J165" t="str">
        <f t="shared" si="2"/>
        <v>&lt;img src="https://flagcdn.com/w40/pt.png" alt="Portugal flag"&gt;</v>
      </c>
    </row>
    <row r="166" spans="1:10" x14ac:dyDescent="0.25">
      <c r="A166" t="s">
        <v>609</v>
      </c>
      <c r="B166" t="s">
        <v>673</v>
      </c>
      <c r="C166" t="s">
        <v>334</v>
      </c>
      <c r="D166" t="s">
        <v>669</v>
      </c>
      <c r="E166" t="s">
        <v>451</v>
      </c>
      <c r="F166" t="s">
        <v>333</v>
      </c>
      <c r="G166" t="str">
        <f>_xlfn.XLOOKUP(F166,Sheet1!D:D,Sheet1!A:A)</f>
        <v>North America</v>
      </c>
      <c r="H166" s="1">
        <v>13790</v>
      </c>
      <c r="I166" t="s">
        <v>695</v>
      </c>
      <c r="J166" t="str">
        <f t="shared" si="2"/>
        <v>&lt;img src="https://flagcdn.com/w40/pr.png" alt="Puerto Rico flag"&gt;</v>
      </c>
    </row>
    <row r="167" spans="1:10" x14ac:dyDescent="0.25">
      <c r="A167" t="s">
        <v>610</v>
      </c>
      <c r="B167" t="s">
        <v>689</v>
      </c>
      <c r="C167" t="s">
        <v>341</v>
      </c>
      <c r="D167" t="s">
        <v>683</v>
      </c>
      <c r="E167" t="s">
        <v>451</v>
      </c>
      <c r="F167" t="s">
        <v>340</v>
      </c>
      <c r="G167" t="str">
        <f>_xlfn.XLOOKUP(F167,Sheet1!D:D,Sheet1!A:A)</f>
        <v>Asia</v>
      </c>
      <c r="H167" s="1">
        <v>11586</v>
      </c>
      <c r="I167" t="s">
        <v>694</v>
      </c>
      <c r="J167" t="str">
        <f t="shared" si="2"/>
        <v>&lt;img src="https://flagcdn.com/w40/qa.png" alt="Qatar flag"&gt;</v>
      </c>
    </row>
    <row r="168" spans="1:10" x14ac:dyDescent="0.25">
      <c r="A168" t="s">
        <v>698</v>
      </c>
      <c r="B168" t="s">
        <v>672</v>
      </c>
      <c r="C168" t="s">
        <v>414</v>
      </c>
      <c r="D168" t="s">
        <v>672</v>
      </c>
      <c r="E168" t="s">
        <v>451</v>
      </c>
      <c r="F168" t="s">
        <v>413</v>
      </c>
      <c r="G168" t="str">
        <f>_xlfn.XLOOKUP(F168,Sheet1!D:D,Sheet1!A:A)</f>
        <v>Asia</v>
      </c>
      <c r="H168" s="1">
        <v>35980</v>
      </c>
      <c r="I168" t="s">
        <v>694</v>
      </c>
      <c r="J168" t="str">
        <f t="shared" si="2"/>
        <v>&lt;img src="https://flagcdn.com/w40/tw.png" alt="Taiwan flag"&gt;</v>
      </c>
    </row>
    <row r="169" spans="1:10" x14ac:dyDescent="0.25">
      <c r="A169" t="s">
        <v>699</v>
      </c>
      <c r="B169" t="s">
        <v>679</v>
      </c>
      <c r="C169" t="s">
        <v>76</v>
      </c>
      <c r="D169" t="s">
        <v>675</v>
      </c>
      <c r="E169" t="s">
        <v>451</v>
      </c>
      <c r="F169" t="s">
        <v>75</v>
      </c>
      <c r="G169" t="str">
        <f>_xlfn.XLOOKUP(F169,Sheet1!D:D,Sheet1!A:A)</f>
        <v>Africa</v>
      </c>
      <c r="H169" s="1">
        <v>342000</v>
      </c>
      <c r="I169" t="s">
        <v>694</v>
      </c>
      <c r="J169" t="str">
        <f t="shared" si="2"/>
        <v>&lt;img src="https://flagcdn.com/w40/cg.png" alt="Congo flag"&gt;</v>
      </c>
    </row>
    <row r="170" spans="1:10" x14ac:dyDescent="0.25">
      <c r="A170" t="s">
        <v>611</v>
      </c>
      <c r="B170" t="s">
        <v>685</v>
      </c>
      <c r="C170" t="s">
        <v>343</v>
      </c>
      <c r="D170" t="s">
        <v>675</v>
      </c>
      <c r="E170" t="s">
        <v>451</v>
      </c>
      <c r="F170" t="s">
        <v>342</v>
      </c>
      <c r="G170" t="str">
        <f>_xlfn.XLOOKUP(F170,Sheet1!D:D,Sheet1!A:A)</f>
        <v>Europe</v>
      </c>
      <c r="H170" s="1">
        <v>238391</v>
      </c>
      <c r="I170" t="s">
        <v>694</v>
      </c>
      <c r="J170" t="str">
        <f t="shared" si="2"/>
        <v>&lt;img src="https://flagcdn.com/w40/ro.png" alt="Romania flag"&gt;</v>
      </c>
    </row>
    <row r="171" spans="1:10" x14ac:dyDescent="0.25">
      <c r="A171" t="s">
        <v>612</v>
      </c>
      <c r="B171" t="s">
        <v>685</v>
      </c>
      <c r="C171" t="s">
        <v>347</v>
      </c>
      <c r="D171" t="s">
        <v>682</v>
      </c>
      <c r="E171" t="s">
        <v>451</v>
      </c>
      <c r="F171" t="s">
        <v>346</v>
      </c>
      <c r="G171" t="str">
        <f>_xlfn.XLOOKUP(F171,Sheet1!D:D,Sheet1!A:A)</f>
        <v>Europe</v>
      </c>
      <c r="H171" s="1">
        <v>17098242</v>
      </c>
      <c r="I171" t="s">
        <v>694</v>
      </c>
      <c r="J171" t="str">
        <f t="shared" si="2"/>
        <v>&lt;img src="https://flagcdn.com/w40/ru.png" alt="Russia flag"&gt;</v>
      </c>
    </row>
    <row r="172" spans="1:10" x14ac:dyDescent="0.25">
      <c r="A172" t="s">
        <v>613</v>
      </c>
      <c r="B172" t="s">
        <v>685</v>
      </c>
      <c r="C172" t="s">
        <v>349</v>
      </c>
      <c r="D172" t="s">
        <v>670</v>
      </c>
      <c r="E172" t="s">
        <v>451</v>
      </c>
      <c r="F172" t="s">
        <v>348</v>
      </c>
      <c r="G172" t="str">
        <f>_xlfn.XLOOKUP(F172,Sheet1!D:D,Sheet1!A:A)</f>
        <v>Africa</v>
      </c>
      <c r="H172" s="1">
        <v>26338</v>
      </c>
      <c r="I172" t="s">
        <v>694</v>
      </c>
      <c r="J172" t="str">
        <f t="shared" si="2"/>
        <v>&lt;img src="https://flagcdn.com/w40/rw.png" alt="Rwanda flag"&gt;</v>
      </c>
    </row>
    <row r="173" spans="1:10" x14ac:dyDescent="0.25">
      <c r="A173" t="s">
        <v>1077</v>
      </c>
      <c r="B173" t="s">
        <v>669</v>
      </c>
      <c r="C173" t="s">
        <v>48</v>
      </c>
      <c r="D173" t="s">
        <v>678</v>
      </c>
      <c r="E173" t="s">
        <v>451</v>
      </c>
      <c r="F173" t="s">
        <v>47</v>
      </c>
      <c r="G173" t="str">
        <f>_xlfn.XLOOKUP(F173,Sheet1!D:D,Sheet1!A:A)</f>
        <v>North America</v>
      </c>
      <c r="H173" s="1">
        <v>21</v>
      </c>
      <c r="I173" t="s">
        <v>695</v>
      </c>
      <c r="J173" t="str">
        <f t="shared" si="2"/>
        <v>&lt;img src="https://flagcdn.com/w40/bl.png" alt="Saint Barthelemy flag"&gt;</v>
      </c>
    </row>
    <row r="174" spans="1:10" x14ac:dyDescent="0.25">
      <c r="A174" t="s">
        <v>614</v>
      </c>
      <c r="B174" t="s">
        <v>669</v>
      </c>
      <c r="C174" t="s">
        <v>363</v>
      </c>
      <c r="D174" t="s">
        <v>691</v>
      </c>
      <c r="E174" t="s">
        <v>451</v>
      </c>
      <c r="F174" t="s">
        <v>362</v>
      </c>
      <c r="G174" t="str">
        <f>_xlfn.XLOOKUP(F174,Sheet1!D:D,Sheet1!A:A)</f>
        <v>Africa</v>
      </c>
      <c r="H174" s="1">
        <v>122</v>
      </c>
      <c r="I174" t="s">
        <v>695</v>
      </c>
      <c r="J174" t="str">
        <f t="shared" si="2"/>
        <v>&lt;img src="https://flagcdn.com/w40/sh.png" alt="Saint Helena flag"&gt;</v>
      </c>
    </row>
    <row r="175" spans="1:10" x14ac:dyDescent="0.25">
      <c r="A175" t="s">
        <v>615</v>
      </c>
      <c r="B175" t="s">
        <v>669</v>
      </c>
      <c r="C175" t="s">
        <v>220</v>
      </c>
      <c r="D175" t="s">
        <v>675</v>
      </c>
      <c r="E175" t="s">
        <v>451</v>
      </c>
      <c r="F175" t="s">
        <v>219</v>
      </c>
      <c r="G175" t="str">
        <f>_xlfn.XLOOKUP(F175,Sheet1!D:D,Sheet1!A:A)</f>
        <v>North America</v>
      </c>
      <c r="H175" s="1">
        <v>261</v>
      </c>
      <c r="I175" t="s">
        <v>694</v>
      </c>
      <c r="J175" t="str">
        <f t="shared" si="2"/>
        <v>&lt;img src="https://flagcdn.com/w40/kn.png" alt="Saint Kitts and Nevis flag"&gt;</v>
      </c>
    </row>
    <row r="176" spans="1:10" x14ac:dyDescent="0.25">
      <c r="A176" t="s">
        <v>616</v>
      </c>
      <c r="B176" t="s">
        <v>669</v>
      </c>
      <c r="C176" t="s">
        <v>236</v>
      </c>
      <c r="D176" t="s">
        <v>679</v>
      </c>
      <c r="E176" t="s">
        <v>451</v>
      </c>
      <c r="F176" t="s">
        <v>235</v>
      </c>
      <c r="G176" t="str">
        <f>_xlfn.XLOOKUP(F176,Sheet1!D:D,Sheet1!A:A)</f>
        <v>North America</v>
      </c>
      <c r="H176" s="1">
        <v>616</v>
      </c>
      <c r="I176" t="s">
        <v>694</v>
      </c>
      <c r="J176" t="str">
        <f t="shared" si="2"/>
        <v>&lt;img src="https://flagcdn.com/w40/lc.png" alt="Saint Lucia flag"&gt;</v>
      </c>
    </row>
    <row r="177" spans="1:10" x14ac:dyDescent="0.25">
      <c r="A177" t="s">
        <v>617</v>
      </c>
      <c r="B177" t="s">
        <v>669</v>
      </c>
      <c r="C177" t="s">
        <v>261</v>
      </c>
      <c r="D177" t="s">
        <v>682</v>
      </c>
      <c r="E177" t="s">
        <v>451</v>
      </c>
      <c r="F177" t="s">
        <v>260</v>
      </c>
      <c r="G177" t="str">
        <f>_xlfn.XLOOKUP(F177,Sheet1!D:D,Sheet1!A:A)</f>
        <v>North America</v>
      </c>
      <c r="H177" s="1">
        <v>54</v>
      </c>
      <c r="I177" t="s">
        <v>695</v>
      </c>
      <c r="J177" t="str">
        <f t="shared" si="2"/>
        <v>&lt;img src="https://flagcdn.com/w40/mf.png" alt="Saint Martin flag"&gt;</v>
      </c>
    </row>
    <row r="178" spans="1:10" x14ac:dyDescent="0.25">
      <c r="A178" t="s">
        <v>618</v>
      </c>
      <c r="B178" t="s">
        <v>669</v>
      </c>
      <c r="C178" t="s">
        <v>429</v>
      </c>
      <c r="D178" t="s">
        <v>670</v>
      </c>
      <c r="E178" t="s">
        <v>451</v>
      </c>
      <c r="F178" t="s">
        <v>428</v>
      </c>
      <c r="G178" t="str">
        <f>_xlfn.XLOOKUP(F178,Sheet1!D:D,Sheet1!A:A)</f>
        <v>North America</v>
      </c>
      <c r="H178" s="1">
        <v>389</v>
      </c>
      <c r="I178" t="s">
        <v>694</v>
      </c>
      <c r="J178" t="str">
        <f t="shared" si="2"/>
        <v>&lt;img src="https://flagcdn.com/w40/vc.png" alt="Saint Vincent and the Grenadines flag"&gt;</v>
      </c>
    </row>
    <row r="179" spans="1:10" x14ac:dyDescent="0.25">
      <c r="A179" t="s">
        <v>619</v>
      </c>
      <c r="B179" t="s">
        <v>669</v>
      </c>
      <c r="C179" t="s">
        <v>439</v>
      </c>
      <c r="D179" t="s">
        <v>668</v>
      </c>
      <c r="E179" t="s">
        <v>451</v>
      </c>
      <c r="F179" t="s">
        <v>438</v>
      </c>
      <c r="G179" t="str">
        <f>_xlfn.XLOOKUP(F179,Sheet1!D:D,Sheet1!A:A)</f>
        <v>Oceania</v>
      </c>
      <c r="H179" s="1">
        <v>2831</v>
      </c>
      <c r="I179" t="s">
        <v>694</v>
      </c>
      <c r="J179" t="str">
        <f t="shared" si="2"/>
        <v>&lt;img src="https://flagcdn.com/w40/ws.png" alt="Samoa flag"&gt;</v>
      </c>
    </row>
    <row r="180" spans="1:10" x14ac:dyDescent="0.25">
      <c r="A180" t="s">
        <v>371</v>
      </c>
      <c r="B180" t="s">
        <v>669</v>
      </c>
      <c r="C180" t="s">
        <v>371</v>
      </c>
      <c r="D180" t="s">
        <v>669</v>
      </c>
      <c r="E180" t="s">
        <v>451</v>
      </c>
      <c r="F180" t="s">
        <v>370</v>
      </c>
      <c r="G180" t="str">
        <f>_xlfn.XLOOKUP(F180,Sheet1!D:D,Sheet1!A:A)</f>
        <v>Europe</v>
      </c>
      <c r="H180" s="1">
        <v>61</v>
      </c>
      <c r="I180" t="s">
        <v>694</v>
      </c>
      <c r="J180" t="str">
        <f t="shared" si="2"/>
        <v>&lt;img src="https://flagcdn.com/w40/sm.png" alt="San Marino flag"&gt;</v>
      </c>
    </row>
    <row r="181" spans="1:10" x14ac:dyDescent="0.25">
      <c r="A181" t="s">
        <v>700</v>
      </c>
      <c r="B181" t="s">
        <v>669</v>
      </c>
      <c r="C181" t="s">
        <v>381</v>
      </c>
      <c r="D181" t="s">
        <v>669</v>
      </c>
      <c r="E181" t="s">
        <v>451</v>
      </c>
      <c r="F181" t="s">
        <v>380</v>
      </c>
      <c r="G181" t="str">
        <f>_xlfn.XLOOKUP(F181,Sheet1!D:D,Sheet1!A:A)</f>
        <v>Africa</v>
      </c>
      <c r="H181" s="1">
        <v>964</v>
      </c>
      <c r="I181" t="s">
        <v>694</v>
      </c>
      <c r="J181" t="str">
        <f t="shared" si="2"/>
        <v>&lt;img src="https://flagcdn.com/w40/st.png" alt="Sao Tome and Principe flag"&gt;</v>
      </c>
    </row>
    <row r="182" spans="1:10" x14ac:dyDescent="0.25">
      <c r="A182" t="s">
        <v>620</v>
      </c>
      <c r="B182" t="s">
        <v>669</v>
      </c>
      <c r="C182" t="s">
        <v>351</v>
      </c>
      <c r="D182" t="s">
        <v>685</v>
      </c>
      <c r="E182" t="s">
        <v>451</v>
      </c>
      <c r="F182" t="s">
        <v>350</v>
      </c>
      <c r="G182" t="str">
        <f>_xlfn.XLOOKUP(F182,Sheet1!D:D,Sheet1!A:A)</f>
        <v>Asia</v>
      </c>
      <c r="H182" s="1">
        <v>2149690</v>
      </c>
      <c r="I182" t="s">
        <v>694</v>
      </c>
      <c r="J182" t="str">
        <f t="shared" si="2"/>
        <v>&lt;img src="https://flagcdn.com/w40/sa.png" alt="Saudi Arabia flag"&gt;</v>
      </c>
    </row>
    <row r="183" spans="1:10" x14ac:dyDescent="0.25">
      <c r="A183" t="s">
        <v>621</v>
      </c>
      <c r="B183" t="s">
        <v>669</v>
      </c>
      <c r="C183" t="s">
        <v>373</v>
      </c>
      <c r="D183" t="s">
        <v>683</v>
      </c>
      <c r="E183" t="s">
        <v>451</v>
      </c>
      <c r="F183" t="s">
        <v>372</v>
      </c>
      <c r="G183" t="str">
        <f>_xlfn.XLOOKUP(F183,Sheet1!D:D,Sheet1!A:A)</f>
        <v>Africa</v>
      </c>
      <c r="H183" s="1">
        <v>196722</v>
      </c>
      <c r="I183" t="s">
        <v>694</v>
      </c>
      <c r="J183" t="str">
        <f t="shared" si="2"/>
        <v>&lt;img src="https://flagcdn.com/w40/sn.png" alt="Senegal flag"&gt;</v>
      </c>
    </row>
    <row r="184" spans="1:10" x14ac:dyDescent="0.25">
      <c r="A184" t="s">
        <v>622</v>
      </c>
      <c r="B184" t="s">
        <v>669</v>
      </c>
      <c r="C184" t="s">
        <v>345</v>
      </c>
      <c r="D184" t="s">
        <v>675</v>
      </c>
      <c r="E184" t="s">
        <v>451</v>
      </c>
      <c r="F184" t="s">
        <v>344</v>
      </c>
      <c r="G184" t="str">
        <f>_xlfn.XLOOKUP(F184,Sheet1!D:D,Sheet1!A:A)</f>
        <v>Europe</v>
      </c>
      <c r="H184" s="1">
        <v>77474</v>
      </c>
      <c r="I184" t="s">
        <v>694</v>
      </c>
      <c r="J184" t="str">
        <f t="shared" si="2"/>
        <v>&lt;img src="https://flagcdn.com/w40/rs.png" alt="Serbia flag"&gt;</v>
      </c>
    </row>
    <row r="185" spans="1:10" x14ac:dyDescent="0.25">
      <c r="A185" t="s">
        <v>623</v>
      </c>
      <c r="B185" t="s">
        <v>669</v>
      </c>
      <c r="C185" t="s">
        <v>355</v>
      </c>
      <c r="D185" t="s">
        <v>680</v>
      </c>
      <c r="E185" t="s">
        <v>451</v>
      </c>
      <c r="F185" t="s">
        <v>354</v>
      </c>
      <c r="G185" t="str">
        <f>_xlfn.XLOOKUP(F185,Sheet1!D:D,Sheet1!A:A)</f>
        <v>Africa</v>
      </c>
      <c r="H185" s="1">
        <v>455</v>
      </c>
      <c r="I185" t="s">
        <v>694</v>
      </c>
      <c r="J185" t="str">
        <f t="shared" si="2"/>
        <v>&lt;img src="https://flagcdn.com/w40/sc.png" alt="Seychelles flag"&gt;</v>
      </c>
    </row>
    <row r="186" spans="1:10" x14ac:dyDescent="0.25">
      <c r="A186" t="s">
        <v>624</v>
      </c>
      <c r="B186" t="s">
        <v>669</v>
      </c>
      <c r="C186" t="s">
        <v>369</v>
      </c>
      <c r="D186" t="s">
        <v>686</v>
      </c>
      <c r="E186" t="s">
        <v>451</v>
      </c>
      <c r="F186" t="s">
        <v>368</v>
      </c>
      <c r="G186" t="str">
        <f>_xlfn.XLOOKUP(F186,Sheet1!D:D,Sheet1!A:A)</f>
        <v>Africa</v>
      </c>
      <c r="H186" s="1">
        <v>71740</v>
      </c>
      <c r="I186" t="s">
        <v>694</v>
      </c>
      <c r="J186" t="str">
        <f t="shared" si="2"/>
        <v>&lt;img src="https://flagcdn.com/w40/sl.png" alt="Sierra Leone flag"&gt;</v>
      </c>
    </row>
    <row r="187" spans="1:10" x14ac:dyDescent="0.25">
      <c r="A187" t="s">
        <v>361</v>
      </c>
      <c r="B187" t="s">
        <v>669</v>
      </c>
      <c r="C187" t="s">
        <v>361</v>
      </c>
      <c r="D187" t="s">
        <v>669</v>
      </c>
      <c r="E187" t="s">
        <v>451</v>
      </c>
      <c r="F187" t="s">
        <v>360</v>
      </c>
      <c r="G187" t="str">
        <f>_xlfn.XLOOKUP(F187,Sheet1!D:D,Sheet1!A:A)</f>
        <v>Asia</v>
      </c>
      <c r="H187" s="1">
        <v>697</v>
      </c>
      <c r="I187" t="s">
        <v>694</v>
      </c>
      <c r="J187" t="str">
        <f t="shared" si="2"/>
        <v>&lt;img src="https://flagcdn.com/w40/sg.png" alt="Singapore flag"&gt;</v>
      </c>
    </row>
    <row r="188" spans="1:10" x14ac:dyDescent="0.25">
      <c r="A188" t="s">
        <v>625</v>
      </c>
      <c r="B188" t="s">
        <v>669</v>
      </c>
      <c r="C188" t="s">
        <v>385</v>
      </c>
      <c r="D188" t="s">
        <v>673</v>
      </c>
      <c r="E188" t="s">
        <v>451</v>
      </c>
      <c r="F188" t="s">
        <v>384</v>
      </c>
      <c r="G188" t="str">
        <f>_xlfn.XLOOKUP(F188,Sheet1!D:D,Sheet1!A:A)</f>
        <v>North America</v>
      </c>
      <c r="H188" s="1">
        <v>34</v>
      </c>
      <c r="I188" t="s">
        <v>695</v>
      </c>
      <c r="J188" t="str">
        <f t="shared" si="2"/>
        <v>&lt;img src="https://flagcdn.com/w40/sx.png" alt="Sint Maarten flag"&gt;</v>
      </c>
    </row>
    <row r="189" spans="1:10" x14ac:dyDescent="0.25">
      <c r="A189" t="s">
        <v>626</v>
      </c>
      <c r="B189" t="s">
        <v>669</v>
      </c>
      <c r="C189" t="s">
        <v>367</v>
      </c>
      <c r="D189" t="s">
        <v>675</v>
      </c>
      <c r="E189" t="s">
        <v>451</v>
      </c>
      <c r="F189" t="s">
        <v>366</v>
      </c>
      <c r="G189" t="str">
        <f>_xlfn.XLOOKUP(F189,Sheet1!D:D,Sheet1!A:A)</f>
        <v>Europe</v>
      </c>
      <c r="H189" s="1">
        <v>49035</v>
      </c>
      <c r="I189" t="s">
        <v>694</v>
      </c>
      <c r="J189" t="str">
        <f t="shared" si="2"/>
        <v>&lt;img src="https://flagcdn.com/w40/sk.png" alt="Slovakia flag"&gt;</v>
      </c>
    </row>
    <row r="190" spans="1:10" x14ac:dyDescent="0.25">
      <c r="A190" t="s">
        <v>627</v>
      </c>
      <c r="B190" t="s">
        <v>669</v>
      </c>
      <c r="C190" t="s">
        <v>365</v>
      </c>
      <c r="D190" t="s">
        <v>674</v>
      </c>
      <c r="E190" t="s">
        <v>451</v>
      </c>
      <c r="F190" t="s">
        <v>364</v>
      </c>
      <c r="G190" t="str">
        <f>_xlfn.XLOOKUP(F190,Sheet1!D:D,Sheet1!A:A)</f>
        <v>Europe</v>
      </c>
      <c r="H190" s="1">
        <v>20273</v>
      </c>
      <c r="I190" t="s">
        <v>694</v>
      </c>
      <c r="J190" t="str">
        <f t="shared" si="2"/>
        <v>&lt;img src="https://flagcdn.com/w40/si.png" alt="Slovenia flag"&gt;</v>
      </c>
    </row>
    <row r="191" spans="1:10" x14ac:dyDescent="0.25">
      <c r="A191" t="s">
        <v>628</v>
      </c>
      <c r="B191" t="s">
        <v>669</v>
      </c>
      <c r="C191" t="s">
        <v>353</v>
      </c>
      <c r="D191" t="s">
        <v>684</v>
      </c>
      <c r="E191" t="s">
        <v>451</v>
      </c>
      <c r="F191" t="s">
        <v>352</v>
      </c>
      <c r="G191" t="str">
        <f>_xlfn.XLOOKUP(F191,Sheet1!D:D,Sheet1!A:A)</f>
        <v>Oceania</v>
      </c>
      <c r="H191" s="1">
        <v>28896</v>
      </c>
      <c r="I191" t="s">
        <v>694</v>
      </c>
      <c r="J191" t="str">
        <f t="shared" si="2"/>
        <v>&lt;img src="https://flagcdn.com/w40/sb.png" alt="Solomon Islands flag"&gt;</v>
      </c>
    </row>
    <row r="192" spans="1:10" x14ac:dyDescent="0.25">
      <c r="A192" t="s">
        <v>629</v>
      </c>
      <c r="B192" t="s">
        <v>669</v>
      </c>
      <c r="C192" t="s">
        <v>375</v>
      </c>
      <c r="D192" t="s">
        <v>682</v>
      </c>
      <c r="E192" t="s">
        <v>451</v>
      </c>
      <c r="F192" t="s">
        <v>374</v>
      </c>
      <c r="G192" t="str">
        <f>_xlfn.XLOOKUP(F192,Sheet1!D:D,Sheet1!A:A)</f>
        <v>Africa</v>
      </c>
      <c r="H192" s="1">
        <v>637657</v>
      </c>
      <c r="I192" t="s">
        <v>694</v>
      </c>
      <c r="J192" t="str">
        <f t="shared" si="2"/>
        <v>&lt;img src="https://flagcdn.com/w40/so.png" alt="Somalia flag"&gt;</v>
      </c>
    </row>
    <row r="193" spans="1:10" x14ac:dyDescent="0.25">
      <c r="A193" t="s">
        <v>630</v>
      </c>
      <c r="B193" t="s">
        <v>669</v>
      </c>
      <c r="C193" t="s">
        <v>631</v>
      </c>
      <c r="D193" t="s">
        <v>673</v>
      </c>
      <c r="E193" t="s">
        <v>451</v>
      </c>
      <c r="F193" t="s">
        <v>442</v>
      </c>
      <c r="G193" t="str">
        <f>_xlfn.XLOOKUP(F193,Sheet1!D:D,Sheet1!A:A)</f>
        <v>Africa</v>
      </c>
      <c r="H193" s="1">
        <v>1219090</v>
      </c>
      <c r="I193" t="s">
        <v>694</v>
      </c>
      <c r="J193" t="str">
        <f t="shared" si="2"/>
        <v>&lt;img src="https://flagcdn.com/w40/za.png" alt="South Africa flag"&gt;</v>
      </c>
    </row>
    <row r="194" spans="1:10" x14ac:dyDescent="0.25">
      <c r="A194" t="s">
        <v>632</v>
      </c>
      <c r="B194" t="s">
        <v>669</v>
      </c>
      <c r="C194" t="s">
        <v>168</v>
      </c>
      <c r="D194" t="s">
        <v>678</v>
      </c>
      <c r="E194" t="s">
        <v>451</v>
      </c>
      <c r="F194" t="s">
        <v>167</v>
      </c>
      <c r="G194" t="str">
        <f>_xlfn.XLOOKUP(F194,Sheet1!D:D,Sheet1!A:A)</f>
        <v>Antarctica</v>
      </c>
      <c r="H194" s="1">
        <v>3903</v>
      </c>
      <c r="I194" t="s">
        <v>695</v>
      </c>
      <c r="J194" t="str">
        <f t="shared" ref="J194:J230" si="3">"&lt;img src=""https://flagcdn.com/w40/" &amp; LOWER(F194) &amp; ".png"" alt=""" &amp; A194 &amp; " flag""&gt;"</f>
        <v>&lt;img src="https://flagcdn.com/w40/gs.png" alt="South Georgia and the South Sandwich Islands flag"&gt;</v>
      </c>
    </row>
    <row r="195" spans="1:10" x14ac:dyDescent="0.25">
      <c r="A195" t="s">
        <v>633</v>
      </c>
      <c r="B195" t="s">
        <v>669</v>
      </c>
      <c r="C195" t="s">
        <v>224</v>
      </c>
      <c r="D195" t="s">
        <v>669</v>
      </c>
      <c r="E195" t="s">
        <v>451</v>
      </c>
      <c r="F195" t="s">
        <v>223</v>
      </c>
      <c r="G195" t="str">
        <f>_xlfn.XLOOKUP(F195,Sheet1!D:D,Sheet1!A:A)</f>
        <v>Asia</v>
      </c>
      <c r="H195" s="1">
        <v>99720</v>
      </c>
      <c r="I195" t="s">
        <v>694</v>
      </c>
      <c r="J195" t="str">
        <f t="shared" si="3"/>
        <v>&lt;img src="https://flagcdn.com/w40/kr.png" alt="South Korea flag"&gt;</v>
      </c>
    </row>
    <row r="196" spans="1:10" x14ac:dyDescent="0.25">
      <c r="A196" t="s">
        <v>634</v>
      </c>
      <c r="B196" t="s">
        <v>669</v>
      </c>
      <c r="C196" t="s">
        <v>379</v>
      </c>
      <c r="D196" t="s">
        <v>691</v>
      </c>
      <c r="E196" t="s">
        <v>451</v>
      </c>
      <c r="F196" t="s">
        <v>378</v>
      </c>
      <c r="G196" t="str">
        <f>_xlfn.XLOOKUP(F196,Sheet1!D:D,Sheet1!A:A)</f>
        <v>Africa</v>
      </c>
      <c r="H196" s="1">
        <v>644329</v>
      </c>
      <c r="I196" t="s">
        <v>694</v>
      </c>
      <c r="J196" t="str">
        <f t="shared" si="3"/>
        <v>&lt;img src="https://flagcdn.com/w40/ss.png" alt="South Sudan flag"&gt;</v>
      </c>
    </row>
    <row r="197" spans="1:10" x14ac:dyDescent="0.25">
      <c r="A197" t="s">
        <v>635</v>
      </c>
      <c r="B197" t="s">
        <v>669</v>
      </c>
      <c r="C197" t="s">
        <v>126</v>
      </c>
      <c r="D197" t="s">
        <v>682</v>
      </c>
      <c r="E197" t="s">
        <v>451</v>
      </c>
      <c r="F197" t="s">
        <v>125</v>
      </c>
      <c r="G197" t="str">
        <f>_xlfn.XLOOKUP(F197,Sheet1!D:D,Sheet1!A:A)</f>
        <v>Europe</v>
      </c>
      <c r="H197" s="1">
        <v>505370</v>
      </c>
      <c r="I197" t="s">
        <v>694</v>
      </c>
      <c r="J197" t="str">
        <f t="shared" si="3"/>
        <v>&lt;img src="https://flagcdn.com/w40/es.png" alt="Spain flag"&gt;</v>
      </c>
    </row>
    <row r="198" spans="1:10" x14ac:dyDescent="0.25">
      <c r="A198" t="s">
        <v>636</v>
      </c>
      <c r="B198" t="s">
        <v>669</v>
      </c>
      <c r="C198" t="s">
        <v>637</v>
      </c>
      <c r="D198" t="s">
        <v>669</v>
      </c>
      <c r="E198" t="s">
        <v>451</v>
      </c>
      <c r="F198" t="s">
        <v>239</v>
      </c>
      <c r="G198" t="str">
        <f>_xlfn.XLOOKUP(F198,Sheet1!D:D,Sheet1!A:A)</f>
        <v>Asia</v>
      </c>
      <c r="H198" s="1">
        <v>65610</v>
      </c>
      <c r="I198" t="s">
        <v>694</v>
      </c>
      <c r="J198" t="str">
        <f t="shared" si="3"/>
        <v>&lt;img src="https://flagcdn.com/w40/lk.png" alt="Sri Lanka flag"&gt;</v>
      </c>
    </row>
    <row r="199" spans="1:10" x14ac:dyDescent="0.25">
      <c r="A199" t="s">
        <v>638</v>
      </c>
      <c r="B199" t="s">
        <v>669</v>
      </c>
      <c r="C199" t="s">
        <v>357</v>
      </c>
      <c r="D199" t="s">
        <v>670</v>
      </c>
      <c r="E199" t="s">
        <v>451</v>
      </c>
      <c r="F199" t="s">
        <v>356</v>
      </c>
      <c r="G199" t="str">
        <f>_xlfn.XLOOKUP(F199,Sheet1!D:D,Sheet1!A:A)</f>
        <v>Africa</v>
      </c>
      <c r="H199" s="1">
        <v>1861484</v>
      </c>
      <c r="I199" t="s">
        <v>694</v>
      </c>
      <c r="J199" t="str">
        <f t="shared" si="3"/>
        <v>&lt;img src="https://flagcdn.com/w40/sd.png" alt="Sudan flag"&gt;</v>
      </c>
    </row>
    <row r="200" spans="1:10" x14ac:dyDescent="0.25">
      <c r="A200" t="s">
        <v>639</v>
      </c>
      <c r="B200" t="s">
        <v>669</v>
      </c>
      <c r="C200" t="s">
        <v>377</v>
      </c>
      <c r="D200" t="s">
        <v>673</v>
      </c>
      <c r="E200" t="s">
        <v>451</v>
      </c>
      <c r="F200" t="s">
        <v>376</v>
      </c>
      <c r="G200" t="str">
        <f>_xlfn.XLOOKUP(F200,Sheet1!D:D,Sheet1!A:A)</f>
        <v>South America</v>
      </c>
      <c r="H200" s="1">
        <v>163820</v>
      </c>
      <c r="I200" t="s">
        <v>694</v>
      </c>
      <c r="J200" t="str">
        <f t="shared" si="3"/>
        <v>&lt;img src="https://flagcdn.com/w40/sr.png" alt="Suriname flag"&gt;</v>
      </c>
    </row>
    <row r="201" spans="1:10" x14ac:dyDescent="0.25">
      <c r="A201" t="s">
        <v>701</v>
      </c>
      <c r="B201" t="s">
        <v>671</v>
      </c>
      <c r="C201" t="s">
        <v>389</v>
      </c>
      <c r="D201" t="s">
        <v>682</v>
      </c>
      <c r="E201" t="s">
        <v>451</v>
      </c>
      <c r="F201" t="s">
        <v>388</v>
      </c>
      <c r="G201" t="str">
        <f>_xlfn.XLOOKUP(F201,Sheet1!D:D,Sheet1!A:A)</f>
        <v>Africa</v>
      </c>
      <c r="H201" s="1">
        <v>17364</v>
      </c>
      <c r="I201" t="s">
        <v>694</v>
      </c>
      <c r="J201" t="str">
        <f t="shared" si="3"/>
        <v>&lt;img src="https://flagcdn.com/w40/sz.png" alt="Eswatini flag"&gt;</v>
      </c>
    </row>
    <row r="202" spans="1:10" x14ac:dyDescent="0.25">
      <c r="A202" t="s">
        <v>640</v>
      </c>
      <c r="B202" t="s">
        <v>669</v>
      </c>
      <c r="C202" t="s">
        <v>359</v>
      </c>
      <c r="D202" t="s">
        <v>669</v>
      </c>
      <c r="E202" t="s">
        <v>451</v>
      </c>
      <c r="F202" t="s">
        <v>358</v>
      </c>
      <c r="G202" t="str">
        <f>_xlfn.XLOOKUP(F202,Sheet1!D:D,Sheet1!A:A)</f>
        <v>Europe</v>
      </c>
      <c r="H202" s="1">
        <v>450295</v>
      </c>
      <c r="I202" t="s">
        <v>694</v>
      </c>
      <c r="J202" t="str">
        <f t="shared" si="3"/>
        <v>&lt;img src="https://flagcdn.com/w40/se.png" alt="Sweden flag"&gt;</v>
      </c>
    </row>
    <row r="203" spans="1:10" x14ac:dyDescent="0.25">
      <c r="A203" t="s">
        <v>641</v>
      </c>
      <c r="B203" t="s">
        <v>669</v>
      </c>
      <c r="C203" t="s">
        <v>78</v>
      </c>
      <c r="D203" t="s">
        <v>675</v>
      </c>
      <c r="E203" t="s">
        <v>451</v>
      </c>
      <c r="F203" t="s">
        <v>77</v>
      </c>
      <c r="G203" t="str">
        <f>_xlfn.XLOOKUP(F203,Sheet1!D:D,Sheet1!A:A)</f>
        <v>Europe</v>
      </c>
      <c r="H203" s="1">
        <v>41277</v>
      </c>
      <c r="I203" t="s">
        <v>694</v>
      </c>
      <c r="J203" t="str">
        <f t="shared" si="3"/>
        <v>&lt;img src="https://flagcdn.com/w40/ch.png" alt="Switzerland flag"&gt;</v>
      </c>
    </row>
    <row r="204" spans="1:10" x14ac:dyDescent="0.25">
      <c r="A204" t="s">
        <v>642</v>
      </c>
      <c r="B204" t="s">
        <v>669</v>
      </c>
      <c r="C204" t="s">
        <v>387</v>
      </c>
      <c r="D204" t="s">
        <v>683</v>
      </c>
      <c r="E204" t="s">
        <v>451</v>
      </c>
      <c r="F204" t="s">
        <v>386</v>
      </c>
      <c r="G204" t="str">
        <f>_xlfn.XLOOKUP(F204,Sheet1!D:D,Sheet1!A:A)</f>
        <v>Asia</v>
      </c>
      <c r="H204" s="1">
        <v>185180</v>
      </c>
      <c r="I204" t="s">
        <v>694</v>
      </c>
      <c r="J204" t="str">
        <f t="shared" si="3"/>
        <v>&lt;img src="https://flagcdn.com/w40/sy.png" alt="Syria flag"&gt;</v>
      </c>
    </row>
    <row r="205" spans="1:10" x14ac:dyDescent="0.25">
      <c r="A205" t="s">
        <v>643</v>
      </c>
      <c r="B205" t="s">
        <v>672</v>
      </c>
      <c r="C205" t="s">
        <v>398</v>
      </c>
      <c r="D205" t="s">
        <v>683</v>
      </c>
      <c r="E205" t="s">
        <v>451</v>
      </c>
      <c r="F205" t="s">
        <v>397</v>
      </c>
      <c r="G205" t="str">
        <f>_xlfn.XLOOKUP(F205,Sheet1!D:D,Sheet1!A:A)</f>
        <v>Asia</v>
      </c>
      <c r="H205" s="1">
        <v>143100</v>
      </c>
      <c r="I205" t="s">
        <v>694</v>
      </c>
      <c r="J205" t="str">
        <f t="shared" si="3"/>
        <v>&lt;img src="https://flagcdn.com/w40/tj.png" alt="Tajikistan flag"&gt;</v>
      </c>
    </row>
    <row r="206" spans="1:10" x14ac:dyDescent="0.25">
      <c r="A206" t="s">
        <v>644</v>
      </c>
      <c r="B206" t="s">
        <v>672</v>
      </c>
      <c r="C206" t="s">
        <v>416</v>
      </c>
      <c r="D206" t="s">
        <v>683</v>
      </c>
      <c r="E206" t="s">
        <v>451</v>
      </c>
      <c r="F206" t="s">
        <v>415</v>
      </c>
      <c r="G206" t="str">
        <f>_xlfn.XLOOKUP(F206,Sheet1!D:D,Sheet1!A:A)</f>
        <v>Africa</v>
      </c>
      <c r="H206" s="1">
        <v>947300</v>
      </c>
      <c r="I206" t="s">
        <v>694</v>
      </c>
      <c r="J206" t="str">
        <f t="shared" si="3"/>
        <v>&lt;img src="https://flagcdn.com/w40/tz.png" alt="Tanzania flag"&gt;</v>
      </c>
    </row>
    <row r="207" spans="1:10" x14ac:dyDescent="0.25">
      <c r="A207" t="s">
        <v>645</v>
      </c>
      <c r="B207" t="s">
        <v>672</v>
      </c>
      <c r="C207" t="s">
        <v>396</v>
      </c>
      <c r="D207" t="s">
        <v>675</v>
      </c>
      <c r="E207" t="s">
        <v>451</v>
      </c>
      <c r="F207" t="s">
        <v>395</v>
      </c>
      <c r="G207" t="str">
        <f>_xlfn.XLOOKUP(F207,Sheet1!D:D,Sheet1!A:A)</f>
        <v>Asia</v>
      </c>
      <c r="H207" s="1">
        <v>513120</v>
      </c>
      <c r="I207" t="s">
        <v>694</v>
      </c>
      <c r="J207" t="str">
        <f t="shared" si="3"/>
        <v>&lt;img src="https://flagcdn.com/w40/th.png" alt="Thailand flag"&gt;</v>
      </c>
    </row>
    <row r="208" spans="1:10" x14ac:dyDescent="0.25">
      <c r="A208" t="s">
        <v>646</v>
      </c>
      <c r="B208" t="s">
        <v>672</v>
      </c>
      <c r="C208" t="s">
        <v>394</v>
      </c>
      <c r="D208" t="s">
        <v>674</v>
      </c>
      <c r="E208" t="s">
        <v>451</v>
      </c>
      <c r="F208" t="s">
        <v>393</v>
      </c>
      <c r="G208" t="str">
        <f>_xlfn.XLOOKUP(F208,Sheet1!D:D,Sheet1!A:A)</f>
        <v>Africa</v>
      </c>
      <c r="H208" s="1">
        <v>56785</v>
      </c>
      <c r="I208" t="s">
        <v>694</v>
      </c>
      <c r="J208" t="str">
        <f t="shared" si="3"/>
        <v>&lt;img src="https://flagcdn.com/w40/tg.png" alt="Togo flag"&gt;</v>
      </c>
    </row>
    <row r="209" spans="1:10" x14ac:dyDescent="0.25">
      <c r="A209" t="s">
        <v>647</v>
      </c>
      <c r="B209" t="s">
        <v>672</v>
      </c>
      <c r="C209" t="s">
        <v>406</v>
      </c>
      <c r="D209" t="s">
        <v>681</v>
      </c>
      <c r="E209" t="s">
        <v>451</v>
      </c>
      <c r="F209" t="s">
        <v>405</v>
      </c>
      <c r="G209" t="str">
        <f>_xlfn.XLOOKUP(F209,Sheet1!D:D,Sheet1!A:A)</f>
        <v>Oceania</v>
      </c>
      <c r="H209" s="1">
        <v>747</v>
      </c>
      <c r="I209" t="s">
        <v>694</v>
      </c>
      <c r="J209" t="str">
        <f t="shared" si="3"/>
        <v>&lt;img src="https://flagcdn.com/w40/to.png" alt="Tonga flag"&gt;</v>
      </c>
    </row>
    <row r="210" spans="1:10" x14ac:dyDescent="0.25">
      <c r="A210" t="s">
        <v>648</v>
      </c>
      <c r="B210" t="s">
        <v>672</v>
      </c>
      <c r="C210" t="s">
        <v>410</v>
      </c>
      <c r="D210" t="s">
        <v>673</v>
      </c>
      <c r="E210" t="s">
        <v>451</v>
      </c>
      <c r="F210" t="s">
        <v>409</v>
      </c>
      <c r="G210" t="str">
        <f>_xlfn.XLOOKUP(F210,Sheet1!D:D,Sheet1!A:A)</f>
        <v>North America</v>
      </c>
      <c r="H210" s="1">
        <v>5128</v>
      </c>
      <c r="I210" t="s">
        <v>694</v>
      </c>
      <c r="J210" t="str">
        <f t="shared" si="3"/>
        <v>&lt;img src="https://flagcdn.com/w40/tt.png" alt="Trinidad and Tobago flag"&gt;</v>
      </c>
    </row>
    <row r="211" spans="1:10" x14ac:dyDescent="0.25">
      <c r="A211" t="s">
        <v>649</v>
      </c>
      <c r="B211" t="s">
        <v>672</v>
      </c>
      <c r="C211" t="s">
        <v>404</v>
      </c>
      <c r="D211" t="s">
        <v>672</v>
      </c>
      <c r="E211" t="s">
        <v>451</v>
      </c>
      <c r="F211" t="s">
        <v>403</v>
      </c>
      <c r="G211" t="str">
        <f>_xlfn.XLOOKUP(F211,Sheet1!D:D,Sheet1!A:A)</f>
        <v>Africa</v>
      </c>
      <c r="H211" s="1">
        <v>163610</v>
      </c>
      <c r="I211" t="s">
        <v>694</v>
      </c>
      <c r="J211" t="str">
        <f t="shared" si="3"/>
        <v>&lt;img src="https://flagcdn.com/w40/tn.png" alt="Tunisia flag"&gt;</v>
      </c>
    </row>
    <row r="212" spans="1:10" x14ac:dyDescent="0.25">
      <c r="A212" t="s">
        <v>650</v>
      </c>
      <c r="B212" t="s">
        <v>672</v>
      </c>
      <c r="C212" t="s">
        <v>408</v>
      </c>
      <c r="D212" t="s">
        <v>668</v>
      </c>
      <c r="E212" t="s">
        <v>451</v>
      </c>
      <c r="F212" t="s">
        <v>407</v>
      </c>
      <c r="G212" t="str">
        <f>_xlfn.XLOOKUP(F212,Sheet1!D:D,Sheet1!A:A)</f>
        <v>Europe</v>
      </c>
      <c r="H212" s="1">
        <v>783562</v>
      </c>
      <c r="I212" t="s">
        <v>694</v>
      </c>
      <c r="J212" t="str">
        <f t="shared" si="3"/>
        <v>&lt;img src="https://flagcdn.com/w40/tr.png" alt="Turkey flag"&gt;</v>
      </c>
    </row>
    <row r="213" spans="1:10" x14ac:dyDescent="0.25">
      <c r="A213" t="s">
        <v>651</v>
      </c>
      <c r="B213" t="s">
        <v>672</v>
      </c>
      <c r="C213" t="s">
        <v>402</v>
      </c>
      <c r="D213" t="s">
        <v>668</v>
      </c>
      <c r="E213" t="s">
        <v>451</v>
      </c>
      <c r="F213" t="s">
        <v>401</v>
      </c>
      <c r="G213" t="str">
        <f>_xlfn.XLOOKUP(F213,Sheet1!D:D,Sheet1!A:A)</f>
        <v>Asia</v>
      </c>
      <c r="H213" s="1">
        <v>488100</v>
      </c>
      <c r="I213" t="s">
        <v>694</v>
      </c>
      <c r="J213" t="str">
        <f t="shared" si="3"/>
        <v>&lt;img src="https://flagcdn.com/w40/tm.png" alt="Turkmenistan flag"&gt;</v>
      </c>
    </row>
    <row r="214" spans="1:10" x14ac:dyDescent="0.25">
      <c r="A214" t="s">
        <v>652</v>
      </c>
      <c r="B214" t="s">
        <v>672</v>
      </c>
      <c r="C214" t="s">
        <v>391</v>
      </c>
      <c r="D214" t="s">
        <v>679</v>
      </c>
      <c r="E214" t="s">
        <v>451</v>
      </c>
      <c r="F214" t="s">
        <v>390</v>
      </c>
      <c r="G214" t="str">
        <f>_xlfn.XLOOKUP(F214,Sheet1!D:D,Sheet1!A:A)</f>
        <v>North America</v>
      </c>
      <c r="H214" s="1">
        <v>948</v>
      </c>
      <c r="I214" t="s">
        <v>695</v>
      </c>
      <c r="J214" t="str">
        <f t="shared" si="3"/>
        <v>&lt;img src="https://flagcdn.com/w40/tc.png" alt="Turks and Caicos Islands flag"&gt;</v>
      </c>
    </row>
    <row r="215" spans="1:10" x14ac:dyDescent="0.25">
      <c r="A215" t="s">
        <v>653</v>
      </c>
      <c r="B215" t="s">
        <v>672</v>
      </c>
      <c r="C215" t="s">
        <v>412</v>
      </c>
      <c r="D215" t="s">
        <v>686</v>
      </c>
      <c r="E215" t="s">
        <v>451</v>
      </c>
      <c r="F215" t="s">
        <v>411</v>
      </c>
      <c r="G215" t="str">
        <f>_xlfn.XLOOKUP(F215,Sheet1!D:D,Sheet1!A:A)</f>
        <v>Oceania</v>
      </c>
      <c r="H215" s="1">
        <v>26</v>
      </c>
      <c r="I215" t="s">
        <v>694</v>
      </c>
      <c r="J215" t="str">
        <f t="shared" si="3"/>
        <v>&lt;img src="https://flagcdn.com/w40/tv.png" alt="Tuvalu flag"&gt;</v>
      </c>
    </row>
    <row r="216" spans="1:10" x14ac:dyDescent="0.25">
      <c r="A216" t="s">
        <v>654</v>
      </c>
      <c r="B216" t="s">
        <v>692</v>
      </c>
      <c r="C216" t="s">
        <v>420</v>
      </c>
      <c r="D216" t="s">
        <v>670</v>
      </c>
      <c r="E216" t="s">
        <v>451</v>
      </c>
      <c r="F216" t="s">
        <v>419</v>
      </c>
      <c r="G216" t="str">
        <f>_xlfn.XLOOKUP(F216,Sheet1!D:D,Sheet1!A:A)</f>
        <v>Africa</v>
      </c>
      <c r="H216" s="1">
        <v>241038</v>
      </c>
      <c r="I216" t="s">
        <v>694</v>
      </c>
      <c r="J216" t="str">
        <f t="shared" si="3"/>
        <v>&lt;img src="https://flagcdn.com/w40/ug.png" alt="Uganda flag"&gt;</v>
      </c>
    </row>
    <row r="217" spans="1:10" x14ac:dyDescent="0.25">
      <c r="A217" t="s">
        <v>655</v>
      </c>
      <c r="B217" t="s">
        <v>692</v>
      </c>
      <c r="C217" t="s">
        <v>418</v>
      </c>
      <c r="D217" t="s">
        <v>670</v>
      </c>
      <c r="E217" t="s">
        <v>451</v>
      </c>
      <c r="F217" t="s">
        <v>417</v>
      </c>
      <c r="G217" t="str">
        <f>_xlfn.XLOOKUP(F217,Sheet1!D:D,Sheet1!A:A)</f>
        <v>Europe</v>
      </c>
      <c r="H217" s="1">
        <v>603550</v>
      </c>
      <c r="I217" t="s">
        <v>694</v>
      </c>
      <c r="J217" t="str">
        <f t="shared" si="3"/>
        <v>&lt;img src="https://flagcdn.com/w40/ua.png" alt="Ukraine flag"&gt;</v>
      </c>
    </row>
    <row r="218" spans="1:10" x14ac:dyDescent="0.25">
      <c r="A218" t="s">
        <v>656</v>
      </c>
      <c r="B218" t="s">
        <v>692</v>
      </c>
      <c r="C218" t="s">
        <v>6</v>
      </c>
      <c r="D218" t="s">
        <v>668</v>
      </c>
      <c r="E218" t="s">
        <v>451</v>
      </c>
      <c r="F218" t="s">
        <v>5</v>
      </c>
      <c r="G218" t="str">
        <f>_xlfn.XLOOKUP(F218,Sheet1!D:D,Sheet1!A:A)</f>
        <v>Asia</v>
      </c>
      <c r="H218" s="1">
        <v>83600</v>
      </c>
      <c r="I218" t="s">
        <v>694</v>
      </c>
      <c r="J218" t="str">
        <f t="shared" si="3"/>
        <v>&lt;img src="https://flagcdn.com/w40/ae.png" alt="United Arab Emirates flag"&gt;</v>
      </c>
    </row>
    <row r="219" spans="1:10" x14ac:dyDescent="0.25">
      <c r="A219" t="s">
        <v>702</v>
      </c>
      <c r="B219" t="s">
        <v>692</v>
      </c>
      <c r="C219" t="s">
        <v>144</v>
      </c>
      <c r="D219" t="s">
        <v>674</v>
      </c>
      <c r="E219" t="s">
        <v>451</v>
      </c>
      <c r="F219" t="s">
        <v>143</v>
      </c>
      <c r="G219" t="str">
        <f>_xlfn.XLOOKUP(F219,Sheet1!D:D,Sheet1!A:A)</f>
        <v>Europe</v>
      </c>
      <c r="H219" s="1">
        <v>243610</v>
      </c>
      <c r="I219" t="s">
        <v>694</v>
      </c>
      <c r="J219" t="str">
        <f t="shared" si="3"/>
        <v>&lt;img src="https://flagcdn.com/w40/gb.png" alt="United Kingdom flag"&gt;</v>
      </c>
    </row>
    <row r="220" spans="1:10" x14ac:dyDescent="0.25">
      <c r="A220" t="s">
        <v>657</v>
      </c>
      <c r="B220" t="s">
        <v>692</v>
      </c>
      <c r="C220" t="s">
        <v>1658</v>
      </c>
      <c r="D220" t="s">
        <v>687</v>
      </c>
      <c r="E220" t="s">
        <v>451</v>
      </c>
      <c r="F220" t="s">
        <v>421</v>
      </c>
      <c r="G220" t="str">
        <f>_xlfn.XLOOKUP(F220,Sheet1!D:D,Sheet1!A:A)</f>
        <v>North America</v>
      </c>
      <c r="H220" s="1">
        <v>9826675</v>
      </c>
      <c r="I220" t="s">
        <v>694</v>
      </c>
      <c r="J220" t="str">
        <f t="shared" si="3"/>
        <v>&lt;img src="https://flagcdn.com/w40/us.png" alt="United States flag"&gt;</v>
      </c>
    </row>
    <row r="221" spans="1:10" x14ac:dyDescent="0.25">
      <c r="A221" t="s">
        <v>1663</v>
      </c>
      <c r="B221" t="s">
        <v>692</v>
      </c>
      <c r="C221" t="s">
        <v>435</v>
      </c>
      <c r="D221" t="s">
        <v>679</v>
      </c>
      <c r="E221" t="s">
        <v>451</v>
      </c>
      <c r="F221" t="s">
        <v>434</v>
      </c>
      <c r="G221" t="str">
        <f>_xlfn.XLOOKUP(F221,Sheet1!D:D,Sheet1!A:A)</f>
        <v>North America</v>
      </c>
      <c r="H221" s="1">
        <v>1910</v>
      </c>
      <c r="I221" t="s">
        <v>695</v>
      </c>
      <c r="J221" t="str">
        <f t="shared" si="3"/>
        <v>&lt;img src="https://flagcdn.com/w40/vi.png" alt="US Virgin Islands flag"&gt;</v>
      </c>
    </row>
    <row r="222" spans="1:10" x14ac:dyDescent="0.25">
      <c r="A222" t="s">
        <v>659</v>
      </c>
      <c r="B222" t="s">
        <v>692</v>
      </c>
      <c r="C222" t="s">
        <v>423</v>
      </c>
      <c r="D222" t="s">
        <v>682</v>
      </c>
      <c r="E222" t="s">
        <v>451</v>
      </c>
      <c r="F222" t="s">
        <v>422</v>
      </c>
      <c r="G222" t="str">
        <f>_xlfn.XLOOKUP(F222,Sheet1!D:D,Sheet1!A:A)</f>
        <v>South America</v>
      </c>
      <c r="H222" s="1">
        <v>176215</v>
      </c>
      <c r="I222" t="s">
        <v>694</v>
      </c>
      <c r="J222" t="str">
        <f t="shared" si="3"/>
        <v>&lt;img src="https://flagcdn.com/w40/uy.png" alt="Uruguay flag"&gt;</v>
      </c>
    </row>
    <row r="223" spans="1:10" x14ac:dyDescent="0.25">
      <c r="A223" t="s">
        <v>660</v>
      </c>
      <c r="B223" t="s">
        <v>692</v>
      </c>
      <c r="C223" t="s">
        <v>425</v>
      </c>
      <c r="D223" t="s">
        <v>672</v>
      </c>
      <c r="E223" t="s">
        <v>451</v>
      </c>
      <c r="F223" t="s">
        <v>424</v>
      </c>
      <c r="G223" t="str">
        <f>_xlfn.XLOOKUP(F223,Sheet1!D:D,Sheet1!A:A)</f>
        <v>Asia</v>
      </c>
      <c r="H223" s="1">
        <v>447400</v>
      </c>
      <c r="I223" t="s">
        <v>694</v>
      </c>
      <c r="J223" t="str">
        <f t="shared" si="3"/>
        <v>&lt;img src="https://flagcdn.com/w40/uz.png" alt="Uzbekistan flag"&gt;</v>
      </c>
    </row>
    <row r="224" spans="1:10" x14ac:dyDescent="0.25">
      <c r="A224" t="s">
        <v>661</v>
      </c>
      <c r="B224" t="s">
        <v>680</v>
      </c>
      <c r="C224" t="s">
        <v>1201</v>
      </c>
      <c r="D224" t="s">
        <v>673</v>
      </c>
      <c r="E224" t="s">
        <v>451</v>
      </c>
      <c r="F224" t="s">
        <v>437</v>
      </c>
      <c r="G224" t="str">
        <f>_xlfn.XLOOKUP(F224,Sheet1!D:D,Sheet1!A:A)</f>
        <v>Oceania</v>
      </c>
      <c r="H224" s="1">
        <v>12189</v>
      </c>
      <c r="I224" t="s">
        <v>694</v>
      </c>
      <c r="J224" t="str">
        <f t="shared" si="3"/>
        <v>&lt;img src="https://flagcdn.com/w40/vu.png" alt="Vanuatu flag"&gt;</v>
      </c>
    </row>
    <row r="225" spans="1:10" x14ac:dyDescent="0.25">
      <c r="A225" t="s">
        <v>427</v>
      </c>
      <c r="B225" t="s">
        <v>680</v>
      </c>
      <c r="C225" t="s">
        <v>427</v>
      </c>
      <c r="D225" t="s">
        <v>680</v>
      </c>
      <c r="E225" t="s">
        <v>451</v>
      </c>
      <c r="F225" t="s">
        <v>426</v>
      </c>
      <c r="G225" t="str">
        <f>_xlfn.XLOOKUP(F225,Sheet1!D:D,Sheet1!A:A)</f>
        <v>Europe</v>
      </c>
      <c r="H225" s="1">
        <v>0.44</v>
      </c>
      <c r="I225" t="s">
        <v>694</v>
      </c>
      <c r="J225" t="str">
        <f t="shared" si="3"/>
        <v>&lt;img src="https://flagcdn.com/w40/va.png" alt="Vatican City flag"&gt;</v>
      </c>
    </row>
    <row r="226" spans="1:10" x14ac:dyDescent="0.25">
      <c r="A226" t="s">
        <v>662</v>
      </c>
      <c r="B226" t="s">
        <v>680</v>
      </c>
      <c r="C226" t="s">
        <v>431</v>
      </c>
      <c r="D226" t="s">
        <v>679</v>
      </c>
      <c r="E226" t="s">
        <v>451</v>
      </c>
      <c r="F226" t="s">
        <v>430</v>
      </c>
      <c r="G226" t="str">
        <f>_xlfn.XLOOKUP(F226,Sheet1!D:D,Sheet1!A:A)</f>
        <v>South America</v>
      </c>
      <c r="H226" s="1">
        <v>912050</v>
      </c>
      <c r="I226" t="s">
        <v>694</v>
      </c>
      <c r="J226" t="str">
        <f t="shared" si="3"/>
        <v>&lt;img src="https://flagcdn.com/w40/ve.png" alt="Venezuela flag"&gt;</v>
      </c>
    </row>
    <row r="227" spans="1:10" x14ac:dyDescent="0.25">
      <c r="A227" t="s">
        <v>663</v>
      </c>
      <c r="B227" t="s">
        <v>680</v>
      </c>
      <c r="C227" t="s">
        <v>664</v>
      </c>
      <c r="D227" t="s">
        <v>684</v>
      </c>
      <c r="E227" t="s">
        <v>451</v>
      </c>
      <c r="F227" t="s">
        <v>436</v>
      </c>
      <c r="G227" t="str">
        <f>_xlfn.XLOOKUP(F227,Sheet1!D:D,Sheet1!A:A)</f>
        <v>Asia</v>
      </c>
      <c r="H227" s="1">
        <v>331210</v>
      </c>
      <c r="I227" t="s">
        <v>694</v>
      </c>
      <c r="J227" t="str">
        <f t="shared" si="3"/>
        <v>&lt;img src="https://flagcdn.com/w40/vn.png" alt="Vietnam flag"&gt;</v>
      </c>
    </row>
    <row r="228" spans="1:10" x14ac:dyDescent="0.25">
      <c r="A228" t="s">
        <v>665</v>
      </c>
      <c r="B228" t="s">
        <v>676</v>
      </c>
      <c r="C228" t="s">
        <v>441</v>
      </c>
      <c r="D228" t="s">
        <v>669</v>
      </c>
      <c r="E228" t="s">
        <v>451</v>
      </c>
      <c r="F228" t="s">
        <v>440</v>
      </c>
      <c r="G228" t="str">
        <f>_xlfn.XLOOKUP(F228,Sheet1!D:D,Sheet1!A:A)</f>
        <v>Asia</v>
      </c>
      <c r="H228" s="1">
        <v>527968</v>
      </c>
      <c r="I228" t="s">
        <v>694</v>
      </c>
      <c r="J228" t="str">
        <f t="shared" si="3"/>
        <v>&lt;img src="https://flagcdn.com/w40/ye.png" alt="Yemen flag"&gt;</v>
      </c>
    </row>
    <row r="229" spans="1:10" x14ac:dyDescent="0.25">
      <c r="A229" t="s">
        <v>666</v>
      </c>
      <c r="B229" t="s">
        <v>688</v>
      </c>
      <c r="C229" t="s">
        <v>444</v>
      </c>
      <c r="D229" t="s">
        <v>674</v>
      </c>
      <c r="E229" t="s">
        <v>451</v>
      </c>
      <c r="F229" t="s">
        <v>443</v>
      </c>
      <c r="G229" t="str">
        <f>_xlfn.XLOOKUP(F229,Sheet1!D:D,Sheet1!A:A)</f>
        <v>Africa</v>
      </c>
      <c r="H229" s="1">
        <v>752618</v>
      </c>
      <c r="I229" t="s">
        <v>694</v>
      </c>
      <c r="J229" t="str">
        <f t="shared" si="3"/>
        <v>&lt;img src="https://flagcdn.com/w40/zm.png" alt="Zambia flag"&gt;</v>
      </c>
    </row>
    <row r="230" spans="1:10" x14ac:dyDescent="0.25">
      <c r="A230" t="s">
        <v>667</v>
      </c>
      <c r="B230" t="s">
        <v>688</v>
      </c>
      <c r="C230" t="s">
        <v>446</v>
      </c>
      <c r="D230" t="s">
        <v>684</v>
      </c>
      <c r="E230" t="s">
        <v>451</v>
      </c>
      <c r="F230" t="s">
        <v>445</v>
      </c>
      <c r="G230" t="str">
        <f>_xlfn.XLOOKUP(F230,Sheet1!D:D,Sheet1!A:A)</f>
        <v>Africa</v>
      </c>
      <c r="H230" s="1">
        <v>390757</v>
      </c>
      <c r="I230" t="s">
        <v>694</v>
      </c>
      <c r="J230" t="str">
        <f t="shared" si="3"/>
        <v>&lt;img src="https://flagcdn.com/w40/zw.png" alt="Zimbabwe flag"&gt;</v>
      </c>
    </row>
  </sheetData>
  <autoFilter ref="A1:J230" xr:uid="{C7ACF75C-8881-4271-B525-5A856BCC1CC4}">
    <sortState xmlns:xlrd2="http://schemas.microsoft.com/office/spreadsheetml/2017/richdata2" ref="A2:J230">
      <sortCondition sortBy="cellColor" ref="C1:C230" dxfId="1"/>
    </sortState>
  </autoFilter>
  <sortState xmlns:xlrd2="http://schemas.microsoft.com/office/spreadsheetml/2017/richdata2" ref="A2:I230">
    <sortCondition ref="I1:I230"/>
  </sortState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B9AA-546F-4B30-AA86-6A40DC09CA2D}">
  <dimension ref="A1:J233"/>
  <sheetViews>
    <sheetView zoomScale="271" workbookViewId="0">
      <selection sqref="A1:XFD1"/>
    </sheetView>
  </sheetViews>
  <sheetFormatPr defaultRowHeight="15" x14ac:dyDescent="0.25"/>
  <cols>
    <col min="1" max="1" width="44.28515625" bestFit="1" customWidth="1"/>
    <col min="2" max="2" width="12.85546875" bestFit="1" customWidth="1"/>
    <col min="3" max="3" width="28.85546875" bestFit="1" customWidth="1"/>
    <col min="4" max="4" width="12.42578125" bestFit="1" customWidth="1"/>
    <col min="5" max="5" width="14" bestFit="1" customWidth="1"/>
    <col min="6" max="6" width="12.7109375" bestFit="1" customWidth="1"/>
    <col min="7" max="7" width="18.140625" bestFit="1" customWidth="1"/>
    <col min="8" max="8" width="11.5703125" bestFit="1" customWidth="1"/>
    <col min="9" max="9" width="14" bestFit="1" customWidth="1"/>
  </cols>
  <sheetData>
    <row r="1" spans="1:10" x14ac:dyDescent="0.25">
      <c r="A1" t="s">
        <v>447</v>
      </c>
      <c r="B1" t="s">
        <v>448</v>
      </c>
      <c r="C1" t="s">
        <v>1</v>
      </c>
      <c r="D1" t="s">
        <v>449</v>
      </c>
      <c r="E1" t="s">
        <v>450</v>
      </c>
      <c r="F1" t="s">
        <v>0</v>
      </c>
      <c r="G1" t="s">
        <v>710</v>
      </c>
      <c r="H1" s="1" t="s">
        <v>2</v>
      </c>
      <c r="I1" t="s">
        <v>693</v>
      </c>
      <c r="J1" t="s">
        <v>709</v>
      </c>
    </row>
    <row r="2" spans="1:10" x14ac:dyDescent="0.25">
      <c r="A2" t="s">
        <v>1203</v>
      </c>
      <c r="B2" t="str">
        <f>LEFT(A2)</f>
        <v>А</v>
      </c>
      <c r="C2" t="s">
        <v>1418</v>
      </c>
      <c r="D2" t="str">
        <f>LEFT(C2)</f>
        <v>К</v>
      </c>
      <c r="E2" t="s">
        <v>451</v>
      </c>
      <c r="F2" t="s">
        <v>7</v>
      </c>
      <c r="G2" t="s">
        <v>1602</v>
      </c>
      <c r="H2" s="1">
        <v>652230</v>
      </c>
      <c r="I2" t="s">
        <v>694</v>
      </c>
      <c r="J2" t="str">
        <f>"&lt;img src=""https://flagcdn.com/w40/" &amp; LOWER(F2) &amp; ".png"" alt=""" &amp; A2 &amp; " flag""&gt;"</f>
        <v>&lt;img src="https://flagcdn.com/w40/af.png" alt="Афганистан flag"&gt;</v>
      </c>
    </row>
    <row r="3" spans="1:10" x14ac:dyDescent="0.25">
      <c r="A3" t="s">
        <v>1204</v>
      </c>
      <c r="B3" t="str">
        <f t="shared" ref="B3:B66" si="0">LEFT(A3)</f>
        <v>А</v>
      </c>
      <c r="C3" t="s">
        <v>1419</v>
      </c>
      <c r="D3" t="str">
        <f t="shared" ref="D3:D66" si="1">LEFT(C3)</f>
        <v>Т</v>
      </c>
      <c r="E3" t="s">
        <v>451</v>
      </c>
      <c r="F3" t="s">
        <v>13</v>
      </c>
      <c r="G3" t="s">
        <v>1603</v>
      </c>
      <c r="H3" s="1">
        <v>28748</v>
      </c>
      <c r="I3" t="s">
        <v>694</v>
      </c>
      <c r="J3" t="str">
        <f t="shared" ref="J3:J66" si="2">"&lt;img src=""https://flagcdn.com/w40/" &amp; LOWER(F3) &amp; ".png"" alt=""" &amp; A3 &amp; " flag""&gt;"</f>
        <v>&lt;img src="https://flagcdn.com/w40/al.png" alt="Албания flag"&gt;</v>
      </c>
    </row>
    <row r="4" spans="1:10" x14ac:dyDescent="0.25">
      <c r="A4" t="s">
        <v>1205</v>
      </c>
      <c r="B4" t="str">
        <f t="shared" si="0"/>
        <v>А</v>
      </c>
      <c r="C4" t="s">
        <v>1205</v>
      </c>
      <c r="D4" t="str">
        <f t="shared" si="1"/>
        <v>А</v>
      </c>
      <c r="E4" t="s">
        <v>451</v>
      </c>
      <c r="F4" t="s">
        <v>115</v>
      </c>
      <c r="G4" t="s">
        <v>1604</v>
      </c>
      <c r="H4" s="1">
        <v>2381741</v>
      </c>
      <c r="I4" t="s">
        <v>694</v>
      </c>
      <c r="J4" t="str">
        <f t="shared" si="2"/>
        <v>&lt;img src="https://flagcdn.com/w40/dz.png" alt="Алжир flag"&gt;</v>
      </c>
    </row>
    <row r="5" spans="1:10" x14ac:dyDescent="0.25">
      <c r="A5" t="s">
        <v>1206</v>
      </c>
      <c r="B5" t="str">
        <f t="shared" si="0"/>
        <v>А</v>
      </c>
      <c r="C5" t="s">
        <v>1615</v>
      </c>
      <c r="D5" t="str">
        <f t="shared" si="1"/>
        <v>П</v>
      </c>
      <c r="E5" t="s">
        <v>451</v>
      </c>
      <c r="F5" t="s">
        <v>21</v>
      </c>
      <c r="G5" t="s">
        <v>1605</v>
      </c>
      <c r="H5" s="1">
        <v>199</v>
      </c>
      <c r="I5" t="s">
        <v>695</v>
      </c>
      <c r="J5" t="str">
        <f t="shared" si="2"/>
        <v>&lt;img src="https://flagcdn.com/w40/as.png" alt="Американское Самоа flag"&gt;</v>
      </c>
    </row>
    <row r="6" spans="1:10" x14ac:dyDescent="0.25">
      <c r="A6" t="s">
        <v>1207</v>
      </c>
      <c r="B6" t="str">
        <f t="shared" si="0"/>
        <v>А</v>
      </c>
      <c r="C6" t="s">
        <v>1616</v>
      </c>
      <c r="D6" t="str">
        <f t="shared" si="1"/>
        <v>А</v>
      </c>
      <c r="E6" t="s">
        <v>451</v>
      </c>
      <c r="F6" t="s">
        <v>3</v>
      </c>
      <c r="G6" t="s">
        <v>1603</v>
      </c>
      <c r="H6" s="1">
        <v>468</v>
      </c>
      <c r="I6" t="s">
        <v>694</v>
      </c>
      <c r="J6" t="str">
        <f t="shared" si="2"/>
        <v>&lt;img src="https://flagcdn.com/w40/ad.png" alt="Андорра flag"&gt;</v>
      </c>
    </row>
    <row r="7" spans="1:10" x14ac:dyDescent="0.25">
      <c r="A7" t="s">
        <v>1208</v>
      </c>
      <c r="B7" t="str">
        <f t="shared" si="0"/>
        <v>А</v>
      </c>
      <c r="C7" t="s">
        <v>1420</v>
      </c>
      <c r="D7" t="str">
        <f t="shared" si="1"/>
        <v>Л</v>
      </c>
      <c r="E7" t="s">
        <v>451</v>
      </c>
      <c r="F7" t="s">
        <v>17</v>
      </c>
      <c r="G7" t="s">
        <v>1604</v>
      </c>
      <c r="H7" s="1">
        <v>1246700</v>
      </c>
      <c r="I7" t="s">
        <v>694</v>
      </c>
      <c r="J7" t="str">
        <f t="shared" si="2"/>
        <v>&lt;img src="https://flagcdn.com/w40/ao.png" alt="Ангола flag"&gt;</v>
      </c>
    </row>
    <row r="8" spans="1:10" x14ac:dyDescent="0.25">
      <c r="A8" t="s">
        <v>1209</v>
      </c>
      <c r="B8" t="str">
        <f t="shared" si="0"/>
        <v>А</v>
      </c>
      <c r="C8" t="s">
        <v>1421</v>
      </c>
      <c r="D8" t="str">
        <f t="shared" si="1"/>
        <v>В</v>
      </c>
      <c r="E8" t="s">
        <v>451</v>
      </c>
      <c r="F8" t="s">
        <v>11</v>
      </c>
      <c r="G8" t="s">
        <v>1606</v>
      </c>
      <c r="H8" s="1">
        <v>91</v>
      </c>
      <c r="I8" t="s">
        <v>695</v>
      </c>
      <c r="J8" t="str">
        <f t="shared" si="2"/>
        <v>&lt;img src="https://flagcdn.com/w40/ai.png" alt="Ангилья flag"&gt;</v>
      </c>
    </row>
    <row r="9" spans="1:10" x14ac:dyDescent="0.25">
      <c r="A9" t="s">
        <v>1210</v>
      </c>
      <c r="B9" t="str">
        <f t="shared" si="0"/>
        <v>А</v>
      </c>
      <c r="C9" t="s">
        <v>1617</v>
      </c>
      <c r="D9" t="str">
        <f t="shared" si="1"/>
        <v>С</v>
      </c>
      <c r="E9" t="s">
        <v>451</v>
      </c>
      <c r="F9" t="s">
        <v>9</v>
      </c>
      <c r="G9" t="s">
        <v>1606</v>
      </c>
      <c r="H9" s="1">
        <v>442</v>
      </c>
      <c r="I9" t="s">
        <v>694</v>
      </c>
      <c r="J9" t="str">
        <f t="shared" si="2"/>
        <v>&lt;img src="https://flagcdn.com/w40/ag.png" alt="Антигуа и Барбуда flag"&gt;</v>
      </c>
    </row>
    <row r="10" spans="1:10" x14ac:dyDescent="0.25">
      <c r="A10" t="s">
        <v>1211</v>
      </c>
      <c r="B10" t="str">
        <f t="shared" si="0"/>
        <v>А</v>
      </c>
      <c r="C10" t="s">
        <v>1618</v>
      </c>
      <c r="D10" t="str">
        <f t="shared" si="1"/>
        <v>Б</v>
      </c>
      <c r="E10" t="s">
        <v>451</v>
      </c>
      <c r="F10" t="s">
        <v>19</v>
      </c>
      <c r="G10" t="s">
        <v>1607</v>
      </c>
      <c r="H10" s="1">
        <v>2780400</v>
      </c>
      <c r="I10" t="s">
        <v>694</v>
      </c>
      <c r="J10" t="str">
        <f t="shared" si="2"/>
        <v>&lt;img src="https://flagcdn.com/w40/ar.png" alt="Аргентина flag"&gt;</v>
      </c>
    </row>
    <row r="11" spans="1:10" x14ac:dyDescent="0.25">
      <c r="A11" t="s">
        <v>1212</v>
      </c>
      <c r="B11" t="str">
        <f t="shared" si="0"/>
        <v>А</v>
      </c>
      <c r="C11" t="s">
        <v>1422</v>
      </c>
      <c r="D11" t="str">
        <f t="shared" si="1"/>
        <v>Е</v>
      </c>
      <c r="E11" t="s">
        <v>451</v>
      </c>
      <c r="F11" t="s">
        <v>15</v>
      </c>
      <c r="G11" t="s">
        <v>1603</v>
      </c>
      <c r="H11" s="1">
        <v>29743</v>
      </c>
      <c r="I11" t="s">
        <v>694</v>
      </c>
      <c r="J11" t="str">
        <f t="shared" si="2"/>
        <v>&lt;img src="https://flagcdn.com/w40/am.png" alt="Армения flag"&gt;</v>
      </c>
    </row>
    <row r="12" spans="1:10" x14ac:dyDescent="0.25">
      <c r="A12" t="s">
        <v>1213</v>
      </c>
      <c r="B12" t="str">
        <f t="shared" si="0"/>
        <v>А</v>
      </c>
      <c r="C12" t="s">
        <v>1423</v>
      </c>
      <c r="D12" t="str">
        <f t="shared" si="1"/>
        <v>О</v>
      </c>
      <c r="E12" t="s">
        <v>451</v>
      </c>
      <c r="F12" t="s">
        <v>27</v>
      </c>
      <c r="G12" t="s">
        <v>1606</v>
      </c>
      <c r="H12" s="1">
        <v>180</v>
      </c>
      <c r="I12" t="s">
        <v>695</v>
      </c>
      <c r="J12" t="str">
        <f t="shared" si="2"/>
        <v>&lt;img src="https://flagcdn.com/w40/aw.png" alt="Аруба flag"&gt;</v>
      </c>
    </row>
    <row r="13" spans="1:10" x14ac:dyDescent="0.25">
      <c r="A13" t="s">
        <v>1214</v>
      </c>
      <c r="B13" t="str">
        <f t="shared" si="0"/>
        <v>О</v>
      </c>
      <c r="C13" t="s">
        <v>1424</v>
      </c>
      <c r="D13" t="str">
        <f t="shared" si="1"/>
        <v>Д</v>
      </c>
      <c r="E13" t="s">
        <v>451</v>
      </c>
      <c r="F13" t="s">
        <v>175</v>
      </c>
      <c r="G13" t="s">
        <v>1607</v>
      </c>
      <c r="H13" s="1">
        <v>214969</v>
      </c>
      <c r="I13" t="s">
        <v>695</v>
      </c>
      <c r="J13" t="str">
        <f t="shared" si="2"/>
        <v>&lt;img src="https://flagcdn.com/w40/gy.png" alt="Остров Вознесения flag"&gt;</v>
      </c>
    </row>
    <row r="14" spans="1:10" x14ac:dyDescent="0.25">
      <c r="A14" t="s">
        <v>1215</v>
      </c>
      <c r="B14" t="str">
        <f t="shared" si="0"/>
        <v>А</v>
      </c>
      <c r="C14" t="s">
        <v>1425</v>
      </c>
      <c r="D14" t="str">
        <f t="shared" si="1"/>
        <v>К</v>
      </c>
      <c r="E14" t="s">
        <v>451</v>
      </c>
      <c r="F14" t="s">
        <v>25</v>
      </c>
      <c r="G14" t="s">
        <v>1605</v>
      </c>
      <c r="H14" s="1">
        <v>7741220</v>
      </c>
      <c r="I14" t="s">
        <v>694</v>
      </c>
      <c r="J14" t="str">
        <f t="shared" si="2"/>
        <v>&lt;img src="https://flagcdn.com/w40/au.png" alt="Австралия flag"&gt;</v>
      </c>
    </row>
    <row r="15" spans="1:10" x14ac:dyDescent="0.25">
      <c r="A15" t="s">
        <v>1216</v>
      </c>
      <c r="B15" t="str">
        <f t="shared" si="0"/>
        <v>А</v>
      </c>
      <c r="C15" t="s">
        <v>1426</v>
      </c>
      <c r="D15" t="str">
        <f t="shared" si="1"/>
        <v>В</v>
      </c>
      <c r="E15" t="s">
        <v>451</v>
      </c>
      <c r="F15" t="s">
        <v>23</v>
      </c>
      <c r="G15" t="s">
        <v>1603</v>
      </c>
      <c r="H15" s="1">
        <v>83871</v>
      </c>
      <c r="I15" t="s">
        <v>694</v>
      </c>
      <c r="J15" t="str">
        <f t="shared" si="2"/>
        <v>&lt;img src="https://flagcdn.com/w40/at.png" alt="Австрия flag"&gt;</v>
      </c>
    </row>
    <row r="16" spans="1:10" x14ac:dyDescent="0.25">
      <c r="A16" t="s">
        <v>1217</v>
      </c>
      <c r="B16" t="str">
        <f t="shared" si="0"/>
        <v>А</v>
      </c>
      <c r="C16" t="s">
        <v>1427</v>
      </c>
      <c r="D16" t="str">
        <f t="shared" si="1"/>
        <v>Б</v>
      </c>
      <c r="E16" t="s">
        <v>451</v>
      </c>
      <c r="F16" t="s">
        <v>29</v>
      </c>
      <c r="G16" t="s">
        <v>1603</v>
      </c>
      <c r="H16" s="1">
        <v>86600</v>
      </c>
      <c r="I16" t="s">
        <v>694</v>
      </c>
      <c r="J16" t="str">
        <f t="shared" si="2"/>
        <v>&lt;img src="https://flagcdn.com/w40/az.png" alt="Азербайджан flag"&gt;</v>
      </c>
    </row>
    <row r="17" spans="1:10" x14ac:dyDescent="0.25">
      <c r="A17" t="s">
        <v>1218</v>
      </c>
      <c r="B17" t="str">
        <f t="shared" si="0"/>
        <v>Б</v>
      </c>
      <c r="C17" t="s">
        <v>1428</v>
      </c>
      <c r="D17" t="str">
        <f t="shared" si="1"/>
        <v>Н</v>
      </c>
      <c r="E17" t="s">
        <v>451</v>
      </c>
      <c r="F17" t="s">
        <v>57</v>
      </c>
      <c r="G17" t="s">
        <v>1606</v>
      </c>
      <c r="H17" s="1">
        <v>13880</v>
      </c>
      <c r="I17" t="s">
        <v>694</v>
      </c>
      <c r="J17" t="str">
        <f t="shared" si="2"/>
        <v>&lt;img src="https://flagcdn.com/w40/bs.png" alt="Багамы flag"&gt;</v>
      </c>
    </row>
    <row r="18" spans="1:10" x14ac:dyDescent="0.25">
      <c r="A18" t="s">
        <v>1219</v>
      </c>
      <c r="B18" t="str">
        <f t="shared" si="0"/>
        <v>Б</v>
      </c>
      <c r="C18" t="s">
        <v>1429</v>
      </c>
      <c r="D18" t="str">
        <f t="shared" si="1"/>
        <v>М</v>
      </c>
      <c r="E18" t="s">
        <v>451</v>
      </c>
      <c r="F18" t="s">
        <v>43</v>
      </c>
      <c r="G18" t="s">
        <v>1602</v>
      </c>
      <c r="H18" s="1">
        <v>760</v>
      </c>
      <c r="I18" t="s">
        <v>694</v>
      </c>
      <c r="J18" t="str">
        <f t="shared" si="2"/>
        <v>&lt;img src="https://flagcdn.com/w40/bh.png" alt="Бахрейн flag"&gt;</v>
      </c>
    </row>
    <row r="19" spans="1:10" x14ac:dyDescent="0.25">
      <c r="A19" t="s">
        <v>1220</v>
      </c>
      <c r="B19" t="str">
        <f t="shared" si="0"/>
        <v>Б</v>
      </c>
      <c r="C19" t="s">
        <v>1430</v>
      </c>
      <c r="D19" t="str">
        <f t="shared" si="1"/>
        <v>Д</v>
      </c>
      <c r="E19" t="s">
        <v>451</v>
      </c>
      <c r="F19" t="s">
        <v>35</v>
      </c>
      <c r="G19" t="s">
        <v>1602</v>
      </c>
      <c r="H19" s="1">
        <v>143998</v>
      </c>
      <c r="I19" t="s">
        <v>694</v>
      </c>
      <c r="J19" t="str">
        <f t="shared" si="2"/>
        <v>&lt;img src="https://flagcdn.com/w40/bd.png" alt="Бангладеш flag"&gt;</v>
      </c>
    </row>
    <row r="20" spans="1:10" x14ac:dyDescent="0.25">
      <c r="A20" t="s">
        <v>1221</v>
      </c>
      <c r="B20" t="str">
        <f t="shared" si="0"/>
        <v>Б</v>
      </c>
      <c r="C20" t="s">
        <v>1431</v>
      </c>
      <c r="D20" t="str">
        <f t="shared" si="1"/>
        <v>Б</v>
      </c>
      <c r="E20" t="s">
        <v>451</v>
      </c>
      <c r="F20" t="s">
        <v>33</v>
      </c>
      <c r="G20" t="s">
        <v>1606</v>
      </c>
      <c r="H20" s="1">
        <v>430</v>
      </c>
      <c r="I20" t="s">
        <v>694</v>
      </c>
      <c r="J20" t="str">
        <f t="shared" si="2"/>
        <v>&lt;img src="https://flagcdn.com/w40/bb.png" alt="Барбадос flag"&gt;</v>
      </c>
    </row>
    <row r="21" spans="1:10" x14ac:dyDescent="0.25">
      <c r="A21" t="s">
        <v>1222</v>
      </c>
      <c r="B21" t="str">
        <f t="shared" si="0"/>
        <v>Б</v>
      </c>
      <c r="C21" t="s">
        <v>1432</v>
      </c>
      <c r="D21" t="str">
        <f t="shared" si="1"/>
        <v>М</v>
      </c>
      <c r="E21" t="s">
        <v>451</v>
      </c>
      <c r="F21" t="s">
        <v>63</v>
      </c>
      <c r="G21" t="s">
        <v>1603</v>
      </c>
      <c r="H21" s="1">
        <v>207600</v>
      </c>
      <c r="I21" t="s">
        <v>694</v>
      </c>
      <c r="J21" t="str">
        <f t="shared" si="2"/>
        <v>&lt;img src="https://flagcdn.com/w40/by.png" alt="Беларусь flag"&gt;</v>
      </c>
    </row>
    <row r="22" spans="1:10" x14ac:dyDescent="0.25">
      <c r="A22" t="s">
        <v>1223</v>
      </c>
      <c r="B22" t="str">
        <f t="shared" si="0"/>
        <v>Б</v>
      </c>
      <c r="C22" t="s">
        <v>1433</v>
      </c>
      <c r="D22" t="str">
        <f t="shared" si="1"/>
        <v>Б</v>
      </c>
      <c r="E22" t="s">
        <v>451</v>
      </c>
      <c r="F22" t="s">
        <v>37</v>
      </c>
      <c r="G22" t="s">
        <v>1603</v>
      </c>
      <c r="H22" s="1">
        <v>30528</v>
      </c>
      <c r="I22" t="s">
        <v>694</v>
      </c>
      <c r="J22" t="str">
        <f t="shared" si="2"/>
        <v>&lt;img src="https://flagcdn.com/w40/be.png" alt="Бельгия flag"&gt;</v>
      </c>
    </row>
    <row r="23" spans="1:10" x14ac:dyDescent="0.25">
      <c r="A23" t="s">
        <v>1224</v>
      </c>
      <c r="B23" t="str">
        <f t="shared" si="0"/>
        <v>Б</v>
      </c>
      <c r="C23" t="s">
        <v>1434</v>
      </c>
      <c r="D23" t="str">
        <f t="shared" si="1"/>
        <v>Б</v>
      </c>
      <c r="E23" t="s">
        <v>451</v>
      </c>
      <c r="F23" t="s">
        <v>65</v>
      </c>
      <c r="G23" t="s">
        <v>1606</v>
      </c>
      <c r="H23" s="1">
        <v>22966</v>
      </c>
      <c r="I23" t="s">
        <v>694</v>
      </c>
      <c r="J23" t="str">
        <f t="shared" si="2"/>
        <v>&lt;img src="https://flagcdn.com/w40/bz.png" alt="Белиз flag"&gt;</v>
      </c>
    </row>
    <row r="24" spans="1:10" x14ac:dyDescent="0.25">
      <c r="A24" t="s">
        <v>1225</v>
      </c>
      <c r="B24" t="str">
        <f t="shared" si="0"/>
        <v>Б</v>
      </c>
      <c r="C24" t="s">
        <v>1619</v>
      </c>
      <c r="D24" t="str">
        <f t="shared" si="1"/>
        <v>П</v>
      </c>
      <c r="E24" t="s">
        <v>451</v>
      </c>
      <c r="F24" t="s">
        <v>46</v>
      </c>
      <c r="G24" t="s">
        <v>1604</v>
      </c>
      <c r="H24" s="1">
        <v>112622</v>
      </c>
      <c r="I24" t="s">
        <v>694</v>
      </c>
      <c r="J24" t="str">
        <f t="shared" si="2"/>
        <v>&lt;img src="https://flagcdn.com/w40/bj.png" alt="Бенин flag"&gt;</v>
      </c>
    </row>
    <row r="25" spans="1:10" x14ac:dyDescent="0.25">
      <c r="A25" t="s">
        <v>1226</v>
      </c>
      <c r="B25" t="str">
        <f t="shared" si="0"/>
        <v>Б</v>
      </c>
      <c r="C25" t="s">
        <v>1435</v>
      </c>
      <c r="D25" t="str">
        <f t="shared" si="1"/>
        <v>Г</v>
      </c>
      <c r="E25" t="s">
        <v>451</v>
      </c>
      <c r="F25" t="s">
        <v>49</v>
      </c>
      <c r="G25" t="s">
        <v>1606</v>
      </c>
      <c r="H25" s="1">
        <v>54</v>
      </c>
      <c r="I25" t="s">
        <v>695</v>
      </c>
      <c r="J25" t="str">
        <f t="shared" si="2"/>
        <v>&lt;img src="https://flagcdn.com/w40/bm.png" alt="Бермуды flag"&gt;</v>
      </c>
    </row>
    <row r="26" spans="1:10" x14ac:dyDescent="0.25">
      <c r="A26" t="s">
        <v>1227</v>
      </c>
      <c r="B26" t="str">
        <f t="shared" si="0"/>
        <v>Б</v>
      </c>
      <c r="C26" t="s">
        <v>1436</v>
      </c>
      <c r="D26" t="str">
        <f t="shared" si="1"/>
        <v>Т</v>
      </c>
      <c r="E26" t="s">
        <v>451</v>
      </c>
      <c r="F26" t="s">
        <v>59</v>
      </c>
      <c r="G26" t="s">
        <v>1602</v>
      </c>
      <c r="H26" s="1">
        <v>38394</v>
      </c>
      <c r="I26" t="s">
        <v>694</v>
      </c>
      <c r="J26" t="str">
        <f t="shared" si="2"/>
        <v>&lt;img src="https://flagcdn.com/w40/bt.png" alt="Бутан flag"&gt;</v>
      </c>
    </row>
    <row r="27" spans="1:10" x14ac:dyDescent="0.25">
      <c r="A27" t="s">
        <v>1228</v>
      </c>
      <c r="B27" t="str">
        <f t="shared" si="0"/>
        <v>Б</v>
      </c>
      <c r="C27" t="s">
        <v>1437</v>
      </c>
      <c r="D27" t="str">
        <f t="shared" si="1"/>
        <v>С</v>
      </c>
      <c r="E27" t="s">
        <v>451</v>
      </c>
      <c r="F27" t="s">
        <v>53</v>
      </c>
      <c r="G27" t="s">
        <v>1607</v>
      </c>
      <c r="H27" s="1">
        <v>1098581</v>
      </c>
      <c r="I27" t="s">
        <v>694</v>
      </c>
      <c r="J27" t="str">
        <f t="shared" si="2"/>
        <v>&lt;img src="https://flagcdn.com/w40/bo.png" alt="Боливия flag"&gt;</v>
      </c>
    </row>
    <row r="28" spans="1:10" x14ac:dyDescent="0.25">
      <c r="A28" t="s">
        <v>1229</v>
      </c>
      <c r="B28" t="str">
        <f t="shared" si="0"/>
        <v>Б</v>
      </c>
      <c r="C28" t="s">
        <v>1438</v>
      </c>
      <c r="D28" t="str">
        <f t="shared" si="1"/>
        <v>С</v>
      </c>
      <c r="E28" t="s">
        <v>451</v>
      </c>
      <c r="F28" t="s">
        <v>31</v>
      </c>
      <c r="G28" t="s">
        <v>1603</v>
      </c>
      <c r="H28" s="1">
        <v>51197</v>
      </c>
      <c r="I28" t="s">
        <v>694</v>
      </c>
      <c r="J28" t="str">
        <f t="shared" si="2"/>
        <v>&lt;img src="https://flagcdn.com/w40/ba.png" alt="Босния и Герцеговина flag"&gt;</v>
      </c>
    </row>
    <row r="29" spans="1:10" x14ac:dyDescent="0.25">
      <c r="A29" t="s">
        <v>1230</v>
      </c>
      <c r="B29" t="str">
        <f t="shared" si="0"/>
        <v>Б</v>
      </c>
      <c r="C29" t="s">
        <v>1439</v>
      </c>
      <c r="D29" t="str">
        <f t="shared" si="1"/>
        <v>Г</v>
      </c>
      <c r="E29" t="s">
        <v>451</v>
      </c>
      <c r="F29" t="s">
        <v>61</v>
      </c>
      <c r="G29" t="s">
        <v>1604</v>
      </c>
      <c r="H29" s="1">
        <v>581730</v>
      </c>
      <c r="I29" t="s">
        <v>694</v>
      </c>
      <c r="J29" t="str">
        <f t="shared" si="2"/>
        <v>&lt;img src="https://flagcdn.com/w40/bw.png" alt="Ботсвана flag"&gt;</v>
      </c>
    </row>
    <row r="30" spans="1:10" x14ac:dyDescent="0.25">
      <c r="A30" t="s">
        <v>1231</v>
      </c>
      <c r="B30" t="str">
        <f t="shared" si="0"/>
        <v>Б</v>
      </c>
      <c r="C30" t="s">
        <v>1440</v>
      </c>
      <c r="D30" t="str">
        <f t="shared" si="1"/>
        <v>Б</v>
      </c>
      <c r="E30" t="s">
        <v>451</v>
      </c>
      <c r="F30" t="s">
        <v>55</v>
      </c>
      <c r="G30" t="s">
        <v>1607</v>
      </c>
      <c r="H30" s="1">
        <v>8514877</v>
      </c>
      <c r="I30" t="s">
        <v>694</v>
      </c>
      <c r="J30" t="str">
        <f t="shared" si="2"/>
        <v>&lt;img src="https://flagcdn.com/w40/br.png" alt="Бразилия flag"&gt;</v>
      </c>
    </row>
    <row r="31" spans="1:10" x14ac:dyDescent="0.25">
      <c r="A31" t="s">
        <v>1232</v>
      </c>
      <c r="B31" t="str">
        <f t="shared" si="0"/>
        <v>Б</v>
      </c>
      <c r="C31" t="s">
        <v>1620</v>
      </c>
      <c r="D31" t="str">
        <f t="shared" si="1"/>
        <v>Р</v>
      </c>
      <c r="E31" t="s">
        <v>451</v>
      </c>
      <c r="F31" t="s">
        <v>432</v>
      </c>
      <c r="G31" t="s">
        <v>1606</v>
      </c>
      <c r="H31" s="1">
        <v>151</v>
      </c>
      <c r="I31" t="s">
        <v>695</v>
      </c>
      <c r="J31" t="str">
        <f t="shared" si="2"/>
        <v>&lt;img src="https://flagcdn.com/w40/vg.png" alt="Британские Виргинские острова flag"&gt;</v>
      </c>
    </row>
    <row r="32" spans="1:10" x14ac:dyDescent="0.25">
      <c r="A32" t="s">
        <v>1233</v>
      </c>
      <c r="B32" t="str">
        <f t="shared" si="0"/>
        <v>Б</v>
      </c>
      <c r="C32" t="s">
        <v>1621</v>
      </c>
      <c r="D32" t="str">
        <f t="shared" si="1"/>
        <v>Б</v>
      </c>
      <c r="E32" t="s">
        <v>451</v>
      </c>
      <c r="F32" t="s">
        <v>51</v>
      </c>
      <c r="G32" t="s">
        <v>1602</v>
      </c>
      <c r="H32" s="1">
        <v>5765</v>
      </c>
      <c r="I32" t="s">
        <v>694</v>
      </c>
      <c r="J32" t="str">
        <f t="shared" si="2"/>
        <v>&lt;img src="https://flagcdn.com/w40/bn.png" alt="Бруней flag"&gt;</v>
      </c>
    </row>
    <row r="33" spans="1:10" x14ac:dyDescent="0.25">
      <c r="A33" t="s">
        <v>1234</v>
      </c>
      <c r="B33" t="str">
        <f t="shared" si="0"/>
        <v>Б</v>
      </c>
      <c r="C33" t="s">
        <v>1441</v>
      </c>
      <c r="D33" t="str">
        <f t="shared" si="1"/>
        <v>С</v>
      </c>
      <c r="E33" t="s">
        <v>451</v>
      </c>
      <c r="F33" t="s">
        <v>41</v>
      </c>
      <c r="G33" t="s">
        <v>1603</v>
      </c>
      <c r="H33" s="1">
        <v>110879</v>
      </c>
      <c r="I33" t="s">
        <v>694</v>
      </c>
      <c r="J33" t="str">
        <f t="shared" si="2"/>
        <v>&lt;img src="https://flagcdn.com/w40/bg.png" alt="Болгария flag"&gt;</v>
      </c>
    </row>
    <row r="34" spans="1:10" x14ac:dyDescent="0.25">
      <c r="A34" t="s">
        <v>1622</v>
      </c>
      <c r="B34" t="str">
        <f t="shared" si="0"/>
        <v>Б</v>
      </c>
      <c r="C34" t="s">
        <v>1442</v>
      </c>
      <c r="D34" t="str">
        <f t="shared" si="1"/>
        <v>У</v>
      </c>
      <c r="E34" t="s">
        <v>451</v>
      </c>
      <c r="F34" t="s">
        <v>39</v>
      </c>
      <c r="G34" t="s">
        <v>1604</v>
      </c>
      <c r="H34" s="1">
        <v>274200</v>
      </c>
      <c r="I34" t="s">
        <v>694</v>
      </c>
      <c r="J34" t="str">
        <f t="shared" si="2"/>
        <v>&lt;img src="https://flagcdn.com/w40/bf.png" alt="Буркина Фасо flag"&gt;</v>
      </c>
    </row>
    <row r="35" spans="1:10" x14ac:dyDescent="0.25">
      <c r="A35" t="s">
        <v>1235</v>
      </c>
      <c r="B35" t="str">
        <f t="shared" si="0"/>
        <v>Б</v>
      </c>
      <c r="C35" t="s">
        <v>1443</v>
      </c>
      <c r="D35" t="str">
        <f t="shared" si="1"/>
        <v>Г</v>
      </c>
      <c r="E35" t="s">
        <v>451</v>
      </c>
      <c r="F35" t="s">
        <v>45</v>
      </c>
      <c r="G35" t="s">
        <v>1604</v>
      </c>
      <c r="H35" s="1">
        <v>27830</v>
      </c>
      <c r="I35" t="s">
        <v>694</v>
      </c>
      <c r="J35" t="str">
        <f t="shared" si="2"/>
        <v>&lt;img src="https://flagcdn.com/w40/bi.png" alt="Бурунди flag"&gt;</v>
      </c>
    </row>
    <row r="36" spans="1:10" x14ac:dyDescent="0.25">
      <c r="A36" t="s">
        <v>1236</v>
      </c>
      <c r="B36" t="str">
        <f t="shared" si="0"/>
        <v>К</v>
      </c>
      <c r="C36" t="s">
        <v>1444</v>
      </c>
      <c r="D36" t="str">
        <f t="shared" si="1"/>
        <v>П</v>
      </c>
      <c r="E36" t="s">
        <v>451</v>
      </c>
      <c r="F36" t="s">
        <v>213</v>
      </c>
      <c r="G36" t="s">
        <v>1602</v>
      </c>
      <c r="H36" s="1">
        <v>181035</v>
      </c>
      <c r="I36" t="s">
        <v>694</v>
      </c>
      <c r="J36" t="str">
        <f t="shared" si="2"/>
        <v>&lt;img src="https://flagcdn.com/w40/kh.png" alt="Камбоджа flag"&gt;</v>
      </c>
    </row>
    <row r="37" spans="1:10" x14ac:dyDescent="0.25">
      <c r="A37" t="s">
        <v>1237</v>
      </c>
      <c r="B37" t="str">
        <f t="shared" si="0"/>
        <v>К</v>
      </c>
      <c r="C37" t="s">
        <v>1445</v>
      </c>
      <c r="D37" t="str">
        <f t="shared" si="1"/>
        <v>Я</v>
      </c>
      <c r="E37" t="s">
        <v>451</v>
      </c>
      <c r="F37" t="s">
        <v>85</v>
      </c>
      <c r="G37" t="s">
        <v>1604</v>
      </c>
      <c r="H37" s="1">
        <v>475440</v>
      </c>
      <c r="I37" t="s">
        <v>694</v>
      </c>
      <c r="J37" t="str">
        <f t="shared" si="2"/>
        <v>&lt;img src="https://flagcdn.com/w40/cm.png" alt="Камерун flag"&gt;</v>
      </c>
    </row>
    <row r="38" spans="1:10" x14ac:dyDescent="0.25">
      <c r="A38" t="s">
        <v>1238</v>
      </c>
      <c r="B38" t="str">
        <f t="shared" si="0"/>
        <v>К</v>
      </c>
      <c r="C38" t="s">
        <v>1446</v>
      </c>
      <c r="D38" t="str">
        <f t="shared" si="1"/>
        <v>О</v>
      </c>
      <c r="E38" t="s">
        <v>451</v>
      </c>
      <c r="F38" t="s">
        <v>67</v>
      </c>
      <c r="G38" t="s">
        <v>1606</v>
      </c>
      <c r="H38" s="1">
        <v>9984670</v>
      </c>
      <c r="I38" t="s">
        <v>694</v>
      </c>
      <c r="J38" t="str">
        <f t="shared" si="2"/>
        <v>&lt;img src="https://flagcdn.com/w40/ca.png" alt="Канада flag"&gt;</v>
      </c>
    </row>
    <row r="39" spans="1:10" x14ac:dyDescent="0.25">
      <c r="A39" t="s">
        <v>1623</v>
      </c>
      <c r="B39" t="str">
        <f t="shared" si="0"/>
        <v>К</v>
      </c>
      <c r="C39" t="s">
        <v>1447</v>
      </c>
      <c r="D39" t="str">
        <f t="shared" si="1"/>
        <v>П</v>
      </c>
      <c r="E39" t="s">
        <v>451</v>
      </c>
      <c r="F39" t="s">
        <v>95</v>
      </c>
      <c r="G39" t="s">
        <v>1604</v>
      </c>
      <c r="H39" s="1">
        <v>4033</v>
      </c>
      <c r="I39" t="s">
        <v>694</v>
      </c>
      <c r="J39" t="str">
        <f t="shared" si="2"/>
        <v>&lt;img src="https://flagcdn.com/w40/cv.png" alt="Кабо Верде flag"&gt;</v>
      </c>
    </row>
    <row r="40" spans="1:10" x14ac:dyDescent="0.25">
      <c r="A40" t="s">
        <v>1239</v>
      </c>
      <c r="B40" t="str">
        <f t="shared" si="0"/>
        <v>К</v>
      </c>
      <c r="C40" t="s">
        <v>1424</v>
      </c>
      <c r="D40" t="str">
        <f t="shared" si="1"/>
        <v>Д</v>
      </c>
      <c r="E40" t="s">
        <v>451</v>
      </c>
      <c r="F40" t="s">
        <v>227</v>
      </c>
      <c r="G40" t="s">
        <v>1606</v>
      </c>
      <c r="H40" s="1">
        <v>264</v>
      </c>
      <c r="I40" t="s">
        <v>695</v>
      </c>
      <c r="J40" t="str">
        <f t="shared" si="2"/>
        <v>&lt;img src="https://flagcdn.com/w40/ky.png" alt="Каймановы острова flag"&gt;</v>
      </c>
    </row>
    <row r="41" spans="1:10" x14ac:dyDescent="0.25">
      <c r="A41" t="s">
        <v>1240</v>
      </c>
      <c r="B41" t="str">
        <f t="shared" si="0"/>
        <v>Ц</v>
      </c>
      <c r="C41" t="s">
        <v>1448</v>
      </c>
      <c r="D41" t="str">
        <f t="shared" si="1"/>
        <v>Б</v>
      </c>
      <c r="E41" t="s">
        <v>451</v>
      </c>
      <c r="F41" t="s">
        <v>73</v>
      </c>
      <c r="G41" t="s">
        <v>1604</v>
      </c>
      <c r="H41" s="1">
        <v>622984</v>
      </c>
      <c r="I41" t="s">
        <v>694</v>
      </c>
      <c r="J41" t="str">
        <f t="shared" si="2"/>
        <v>&lt;img src="https://flagcdn.com/w40/cf.png" alt="Центральноафриканская Республика flag"&gt;</v>
      </c>
    </row>
    <row r="42" spans="1:10" x14ac:dyDescent="0.25">
      <c r="A42" t="s">
        <v>1241</v>
      </c>
      <c r="B42" t="str">
        <f t="shared" si="0"/>
        <v>Ч</v>
      </c>
      <c r="C42" t="s">
        <v>1449</v>
      </c>
      <c r="D42" t="str">
        <f t="shared" si="1"/>
        <v>Н</v>
      </c>
      <c r="E42" t="s">
        <v>451</v>
      </c>
      <c r="F42" t="s">
        <v>392</v>
      </c>
      <c r="G42" t="s">
        <v>1604</v>
      </c>
      <c r="H42" s="1">
        <v>1284000</v>
      </c>
      <c r="I42" t="s">
        <v>694</v>
      </c>
      <c r="J42" t="str">
        <f t="shared" si="2"/>
        <v>&lt;img src="https://flagcdn.com/w40/td.png" alt="Чад flag"&gt;</v>
      </c>
    </row>
    <row r="43" spans="1:10" x14ac:dyDescent="0.25">
      <c r="A43" t="s">
        <v>1242</v>
      </c>
      <c r="B43" t="str">
        <f t="shared" si="0"/>
        <v>Ч</v>
      </c>
      <c r="C43" t="s">
        <v>1450</v>
      </c>
      <c r="D43" t="str">
        <f t="shared" si="1"/>
        <v>С</v>
      </c>
      <c r="E43" t="s">
        <v>451</v>
      </c>
      <c r="F43" t="s">
        <v>83</v>
      </c>
      <c r="G43" t="s">
        <v>1607</v>
      </c>
      <c r="H43" s="1">
        <v>756102</v>
      </c>
      <c r="I43" t="s">
        <v>694</v>
      </c>
      <c r="J43" t="str">
        <f t="shared" si="2"/>
        <v>&lt;img src="https://flagcdn.com/w40/cl.png" alt="Чили flag"&gt;</v>
      </c>
    </row>
    <row r="44" spans="1:10" x14ac:dyDescent="0.25">
      <c r="A44" t="s">
        <v>1243</v>
      </c>
      <c r="B44" t="str">
        <f t="shared" si="0"/>
        <v>К</v>
      </c>
      <c r="C44" t="s">
        <v>1451</v>
      </c>
      <c r="D44" t="str">
        <f t="shared" si="1"/>
        <v>П</v>
      </c>
      <c r="E44" t="s">
        <v>451</v>
      </c>
      <c r="F44" t="s">
        <v>87</v>
      </c>
      <c r="G44" t="s">
        <v>1602</v>
      </c>
      <c r="H44" s="1">
        <v>9596961</v>
      </c>
      <c r="I44" t="s">
        <v>694</v>
      </c>
      <c r="J44" t="str">
        <f t="shared" si="2"/>
        <v>&lt;img src="https://flagcdn.com/w40/cn.png" alt="Китай flag"&gt;</v>
      </c>
    </row>
    <row r="45" spans="1:10" x14ac:dyDescent="0.25">
      <c r="A45" t="s">
        <v>1244</v>
      </c>
      <c r="B45" t="str">
        <f t="shared" si="0"/>
        <v>О</v>
      </c>
      <c r="C45" t="s">
        <v>1624</v>
      </c>
      <c r="D45" t="str">
        <f t="shared" si="1"/>
        <v>Ф</v>
      </c>
      <c r="E45" t="s">
        <v>451</v>
      </c>
      <c r="F45" t="s">
        <v>99</v>
      </c>
      <c r="G45" t="s">
        <v>1602</v>
      </c>
      <c r="H45" s="1">
        <v>135</v>
      </c>
      <c r="I45" t="s">
        <v>695</v>
      </c>
      <c r="J45" t="str">
        <f t="shared" si="2"/>
        <v>&lt;img src="https://flagcdn.com/w40/cx.png" alt="Остров Рождества flag"&gt;</v>
      </c>
    </row>
    <row r="46" spans="1:10" x14ac:dyDescent="0.25">
      <c r="A46" t="s">
        <v>1245</v>
      </c>
      <c r="B46" t="str">
        <f t="shared" si="0"/>
        <v>К</v>
      </c>
      <c r="C46" t="s">
        <v>1625</v>
      </c>
      <c r="D46" t="str">
        <f t="shared" si="1"/>
        <v>У</v>
      </c>
      <c r="E46" t="s">
        <v>451</v>
      </c>
      <c r="F46" t="s">
        <v>69</v>
      </c>
      <c r="G46" t="s">
        <v>1602</v>
      </c>
      <c r="H46" s="1">
        <v>14</v>
      </c>
      <c r="I46" t="s">
        <v>695</v>
      </c>
      <c r="J46" t="str">
        <f t="shared" si="2"/>
        <v>&lt;img src="https://flagcdn.com/w40/cc.png" alt="Кокосовые (Килинг) острова flag"&gt;</v>
      </c>
    </row>
    <row r="47" spans="1:10" x14ac:dyDescent="0.25">
      <c r="A47" t="s">
        <v>1246</v>
      </c>
      <c r="B47" t="str">
        <f t="shared" si="0"/>
        <v>К</v>
      </c>
      <c r="C47" t="s">
        <v>1452</v>
      </c>
      <c r="D47" t="str">
        <f t="shared" si="1"/>
        <v>Б</v>
      </c>
      <c r="E47" t="s">
        <v>451</v>
      </c>
      <c r="F47" t="s">
        <v>89</v>
      </c>
      <c r="G47" t="s">
        <v>1607</v>
      </c>
      <c r="H47" s="1">
        <v>1138910</v>
      </c>
      <c r="I47" t="s">
        <v>694</v>
      </c>
      <c r="J47" t="str">
        <f t="shared" si="2"/>
        <v>&lt;img src="https://flagcdn.com/w40/co.png" alt="Колумбия flag"&gt;</v>
      </c>
    </row>
    <row r="48" spans="1:10" x14ac:dyDescent="0.25">
      <c r="A48" t="s">
        <v>1247</v>
      </c>
      <c r="B48" t="str">
        <f t="shared" si="0"/>
        <v>К</v>
      </c>
      <c r="C48" t="s">
        <v>1453</v>
      </c>
      <c r="D48" t="str">
        <f t="shared" si="1"/>
        <v>М</v>
      </c>
      <c r="E48" t="s">
        <v>451</v>
      </c>
      <c r="F48" t="s">
        <v>217</v>
      </c>
      <c r="G48" t="s">
        <v>1604</v>
      </c>
      <c r="H48" s="1">
        <v>2235</v>
      </c>
      <c r="I48" t="s">
        <v>694</v>
      </c>
      <c r="J48" t="str">
        <f t="shared" si="2"/>
        <v>&lt;img src="https://flagcdn.com/w40/km.png" alt="Коморы flag"&gt;</v>
      </c>
    </row>
    <row r="49" spans="1:10" x14ac:dyDescent="0.25">
      <c r="A49" t="s">
        <v>1248</v>
      </c>
      <c r="B49" t="str">
        <f t="shared" si="0"/>
        <v>О</v>
      </c>
      <c r="C49" t="s">
        <v>1454</v>
      </c>
      <c r="D49" t="str">
        <f t="shared" si="1"/>
        <v>А</v>
      </c>
      <c r="E49" t="s">
        <v>451</v>
      </c>
      <c r="F49" t="s">
        <v>81</v>
      </c>
      <c r="G49" t="s">
        <v>1605</v>
      </c>
      <c r="H49" s="1">
        <v>236</v>
      </c>
      <c r="I49" t="s">
        <v>695</v>
      </c>
      <c r="J49" t="str">
        <f t="shared" si="2"/>
        <v>&lt;img src="https://flagcdn.com/w40/ck.png" alt="Острова Кука flag"&gt;</v>
      </c>
    </row>
    <row r="50" spans="1:10" x14ac:dyDescent="0.25">
      <c r="A50" t="s">
        <v>1609</v>
      </c>
      <c r="B50" t="str">
        <f t="shared" si="0"/>
        <v>К</v>
      </c>
      <c r="C50" t="s">
        <v>1626</v>
      </c>
      <c r="D50" t="str">
        <f t="shared" si="1"/>
        <v>С</v>
      </c>
      <c r="E50" t="s">
        <v>451</v>
      </c>
      <c r="F50" t="s">
        <v>91</v>
      </c>
      <c r="G50" t="s">
        <v>1606</v>
      </c>
      <c r="H50" s="1">
        <v>51100</v>
      </c>
      <c r="I50" t="s">
        <v>694</v>
      </c>
      <c r="J50" t="str">
        <f t="shared" si="2"/>
        <v>&lt;img src="https://flagcdn.com/w40/cr.png" alt="Коста Рика flag"&gt;</v>
      </c>
    </row>
    <row r="51" spans="1:10" x14ac:dyDescent="0.25">
      <c r="A51" t="s">
        <v>1610</v>
      </c>
      <c r="B51" t="str">
        <f t="shared" si="0"/>
        <v>К</v>
      </c>
      <c r="C51" t="s">
        <v>1455</v>
      </c>
      <c r="D51" t="str">
        <f t="shared" si="1"/>
        <v>Я</v>
      </c>
      <c r="E51" t="s">
        <v>451</v>
      </c>
      <c r="F51" t="s">
        <v>79</v>
      </c>
      <c r="G51" t="s">
        <v>1604</v>
      </c>
      <c r="H51" s="1">
        <v>322463</v>
      </c>
      <c r="I51" t="s">
        <v>694</v>
      </c>
      <c r="J51" t="str">
        <f t="shared" si="2"/>
        <v>&lt;img src="https://flagcdn.com/w40/ci.png" alt="Котд’Ивуар flag"&gt;</v>
      </c>
    </row>
    <row r="52" spans="1:10" x14ac:dyDescent="0.25">
      <c r="A52" t="s">
        <v>1249</v>
      </c>
      <c r="B52" t="str">
        <f t="shared" si="0"/>
        <v>Х</v>
      </c>
      <c r="C52" t="s">
        <v>1456</v>
      </c>
      <c r="D52" t="str">
        <f t="shared" si="1"/>
        <v>З</v>
      </c>
      <c r="E52" t="s">
        <v>451</v>
      </c>
      <c r="F52" t="s">
        <v>179</v>
      </c>
      <c r="G52" t="s">
        <v>1603</v>
      </c>
      <c r="H52" s="1">
        <v>56594</v>
      </c>
      <c r="I52" t="s">
        <v>694</v>
      </c>
      <c r="J52" t="str">
        <f t="shared" si="2"/>
        <v>&lt;img src="https://flagcdn.com/w40/hr.png" alt="Хорватия flag"&gt;</v>
      </c>
    </row>
    <row r="53" spans="1:10" x14ac:dyDescent="0.25">
      <c r="A53" t="s">
        <v>1250</v>
      </c>
      <c r="B53" t="str">
        <f t="shared" si="0"/>
        <v>К</v>
      </c>
      <c r="C53" t="s">
        <v>1457</v>
      </c>
      <c r="D53" t="str">
        <f t="shared" si="1"/>
        <v>Г</v>
      </c>
      <c r="E53" t="s">
        <v>451</v>
      </c>
      <c r="F53" t="s">
        <v>93</v>
      </c>
      <c r="G53" t="s">
        <v>1606</v>
      </c>
      <c r="H53" s="1">
        <v>110860</v>
      </c>
      <c r="I53" t="s">
        <v>694</v>
      </c>
      <c r="J53" t="str">
        <f t="shared" si="2"/>
        <v>&lt;img src="https://flagcdn.com/w40/cu.png" alt="Куба flag"&gt;</v>
      </c>
    </row>
    <row r="54" spans="1:10" x14ac:dyDescent="0.25">
      <c r="A54" t="s">
        <v>1251</v>
      </c>
      <c r="B54" t="str">
        <f t="shared" si="0"/>
        <v>К</v>
      </c>
      <c r="C54" t="s">
        <v>1458</v>
      </c>
      <c r="D54" t="str">
        <f t="shared" si="1"/>
        <v>В</v>
      </c>
      <c r="E54" t="s">
        <v>451</v>
      </c>
      <c r="F54" t="s">
        <v>97</v>
      </c>
      <c r="G54" t="s">
        <v>1606</v>
      </c>
      <c r="H54" s="1">
        <v>444</v>
      </c>
      <c r="I54" t="s">
        <v>695</v>
      </c>
      <c r="J54" t="str">
        <f t="shared" si="2"/>
        <v>&lt;img src="https://flagcdn.com/w40/cw.png" alt="Кюрасао flag"&gt;</v>
      </c>
    </row>
    <row r="55" spans="1:10" x14ac:dyDescent="0.25">
      <c r="A55" t="s">
        <v>1252</v>
      </c>
      <c r="B55" t="str">
        <f t="shared" si="0"/>
        <v>К</v>
      </c>
      <c r="C55" t="s">
        <v>1459</v>
      </c>
      <c r="D55" t="str">
        <f t="shared" si="1"/>
        <v>Н</v>
      </c>
      <c r="E55" t="s">
        <v>451</v>
      </c>
      <c r="F55" t="s">
        <v>101</v>
      </c>
      <c r="G55" t="s">
        <v>1603</v>
      </c>
      <c r="H55" s="1">
        <v>9251</v>
      </c>
      <c r="I55" t="s">
        <v>694</v>
      </c>
      <c r="J55" t="str">
        <f t="shared" si="2"/>
        <v>&lt;img src="https://flagcdn.com/w40/cy.png" alt="Кипр flag"&gt;</v>
      </c>
    </row>
    <row r="56" spans="1:10" x14ac:dyDescent="0.25">
      <c r="A56" t="s">
        <v>1253</v>
      </c>
      <c r="B56" t="str">
        <f t="shared" si="0"/>
        <v>Ч</v>
      </c>
      <c r="C56" t="s">
        <v>1460</v>
      </c>
      <c r="D56" t="str">
        <f t="shared" si="1"/>
        <v>П</v>
      </c>
      <c r="E56" t="s">
        <v>451</v>
      </c>
      <c r="F56" t="s">
        <v>103</v>
      </c>
      <c r="G56" t="s">
        <v>1603</v>
      </c>
      <c r="H56" s="1">
        <v>78867</v>
      </c>
      <c r="I56" t="s">
        <v>694</v>
      </c>
      <c r="J56" t="str">
        <f t="shared" si="2"/>
        <v>&lt;img src="https://flagcdn.com/w40/cz.png" alt="Чехия flag"&gt;</v>
      </c>
    </row>
    <row r="57" spans="1:10" x14ac:dyDescent="0.25">
      <c r="A57" t="s">
        <v>1254</v>
      </c>
      <c r="B57" t="str">
        <f t="shared" si="0"/>
        <v>Д</v>
      </c>
      <c r="C57" t="s">
        <v>1461</v>
      </c>
      <c r="D57" t="str">
        <f t="shared" si="1"/>
        <v>К</v>
      </c>
      <c r="E57" t="s">
        <v>451</v>
      </c>
      <c r="F57" t="s">
        <v>71</v>
      </c>
      <c r="G57" t="s">
        <v>1604</v>
      </c>
      <c r="H57" s="1">
        <v>2344858</v>
      </c>
      <c r="I57" t="s">
        <v>694</v>
      </c>
      <c r="J57" t="str">
        <f t="shared" si="2"/>
        <v>&lt;img src="https://flagcdn.com/w40/cd.png" alt="Демократическая Республика Конго flag"&gt;</v>
      </c>
    </row>
    <row r="58" spans="1:10" x14ac:dyDescent="0.25">
      <c r="A58" t="s">
        <v>1255</v>
      </c>
      <c r="B58" t="str">
        <f t="shared" si="0"/>
        <v>Д</v>
      </c>
      <c r="C58" t="s">
        <v>1462</v>
      </c>
      <c r="D58" t="str">
        <f t="shared" si="1"/>
        <v>К</v>
      </c>
      <c r="E58" t="s">
        <v>451</v>
      </c>
      <c r="F58" t="s">
        <v>109</v>
      </c>
      <c r="G58" t="s">
        <v>1603</v>
      </c>
      <c r="H58" s="1">
        <v>43094</v>
      </c>
      <c r="I58" t="s">
        <v>694</v>
      </c>
      <c r="J58" t="str">
        <f t="shared" si="2"/>
        <v>&lt;img src="https://flagcdn.com/w40/dk.png" alt="Дания flag"&gt;</v>
      </c>
    </row>
    <row r="59" spans="1:10" x14ac:dyDescent="0.25">
      <c r="A59" t="s">
        <v>1256</v>
      </c>
      <c r="B59" t="str">
        <f t="shared" si="0"/>
        <v>Д</v>
      </c>
      <c r="C59" t="s">
        <v>1256</v>
      </c>
      <c r="D59" t="str">
        <f t="shared" si="1"/>
        <v>Д</v>
      </c>
      <c r="E59" t="s">
        <v>451</v>
      </c>
      <c r="F59" t="s">
        <v>107</v>
      </c>
      <c r="G59" t="s">
        <v>1604</v>
      </c>
      <c r="H59" s="1">
        <v>23200</v>
      </c>
      <c r="I59" t="s">
        <v>694</v>
      </c>
      <c r="J59" t="str">
        <f t="shared" si="2"/>
        <v>&lt;img src="https://flagcdn.com/w40/dj.png" alt="Джибути flag"&gt;</v>
      </c>
    </row>
    <row r="60" spans="1:10" x14ac:dyDescent="0.25">
      <c r="A60" t="s">
        <v>1257</v>
      </c>
      <c r="B60" t="str">
        <f t="shared" si="0"/>
        <v>Д</v>
      </c>
      <c r="C60" t="s">
        <v>1463</v>
      </c>
      <c r="D60" t="str">
        <f t="shared" si="1"/>
        <v>Р</v>
      </c>
      <c r="E60" t="s">
        <v>451</v>
      </c>
      <c r="F60" t="s">
        <v>111</v>
      </c>
      <c r="G60" t="s">
        <v>1606</v>
      </c>
      <c r="H60" s="1">
        <v>751</v>
      </c>
      <c r="I60" t="s">
        <v>694</v>
      </c>
      <c r="J60" t="str">
        <f t="shared" si="2"/>
        <v>&lt;img src="https://flagcdn.com/w40/dm.png" alt="Доминика flag"&gt;</v>
      </c>
    </row>
    <row r="61" spans="1:10" x14ac:dyDescent="0.25">
      <c r="A61" t="s">
        <v>1258</v>
      </c>
      <c r="B61" t="str">
        <f t="shared" si="0"/>
        <v>Д</v>
      </c>
      <c r="C61" t="s">
        <v>1627</v>
      </c>
      <c r="D61" t="str">
        <f t="shared" si="1"/>
        <v>С</v>
      </c>
      <c r="E61" t="s">
        <v>451</v>
      </c>
      <c r="F61" t="s">
        <v>113</v>
      </c>
      <c r="G61" t="s">
        <v>1606</v>
      </c>
      <c r="H61" s="1">
        <v>48670</v>
      </c>
      <c r="I61" t="s">
        <v>694</v>
      </c>
      <c r="J61" t="str">
        <f t="shared" si="2"/>
        <v>&lt;img src="https://flagcdn.com/w40/do.png" alt="Доминиканская Республика flag"&gt;</v>
      </c>
    </row>
    <row r="62" spans="1:10" x14ac:dyDescent="0.25">
      <c r="A62" t="s">
        <v>1259</v>
      </c>
      <c r="B62" t="str">
        <f t="shared" si="0"/>
        <v>В</v>
      </c>
      <c r="C62" t="s">
        <v>1464</v>
      </c>
      <c r="D62" t="str">
        <f t="shared" si="1"/>
        <v>Д</v>
      </c>
      <c r="E62" t="s">
        <v>451</v>
      </c>
      <c r="F62" t="s">
        <v>399</v>
      </c>
      <c r="G62" t="s">
        <v>1602</v>
      </c>
      <c r="H62" s="1">
        <v>14874</v>
      </c>
      <c r="I62" t="s">
        <v>694</v>
      </c>
      <c r="J62" t="str">
        <f t="shared" si="2"/>
        <v>&lt;img src="https://flagcdn.com/w40/tl.png" alt="Восточный Тимор flag"&gt;</v>
      </c>
    </row>
    <row r="63" spans="1:10" x14ac:dyDescent="0.25">
      <c r="A63" t="s">
        <v>1260</v>
      </c>
      <c r="B63" t="str">
        <f t="shared" si="0"/>
        <v>Э</v>
      </c>
      <c r="C63" t="s">
        <v>1465</v>
      </c>
      <c r="D63" t="str">
        <f t="shared" si="1"/>
        <v>К</v>
      </c>
      <c r="E63" t="s">
        <v>451</v>
      </c>
      <c r="F63" t="s">
        <v>117</v>
      </c>
      <c r="G63" t="s">
        <v>1607</v>
      </c>
      <c r="H63" s="1">
        <v>283561</v>
      </c>
      <c r="I63" t="s">
        <v>694</v>
      </c>
      <c r="J63" t="str">
        <f t="shared" si="2"/>
        <v>&lt;img src="https://flagcdn.com/w40/ec.png" alt="Эквадор flag"&gt;</v>
      </c>
    </row>
    <row r="64" spans="1:10" x14ac:dyDescent="0.25">
      <c r="A64" t="s">
        <v>1261</v>
      </c>
      <c r="B64" t="str">
        <f t="shared" si="0"/>
        <v>Е</v>
      </c>
      <c r="C64" t="s">
        <v>1466</v>
      </c>
      <c r="D64" t="str">
        <f t="shared" si="1"/>
        <v>К</v>
      </c>
      <c r="E64" t="s">
        <v>451</v>
      </c>
      <c r="F64" t="s">
        <v>121</v>
      </c>
      <c r="G64" t="s">
        <v>1604</v>
      </c>
      <c r="H64" s="1">
        <v>1001450</v>
      </c>
      <c r="I64" t="s">
        <v>694</v>
      </c>
      <c r="J64" t="str">
        <f t="shared" si="2"/>
        <v>&lt;img src="https://flagcdn.com/w40/eg.png" alt="Египет flag"&gt;</v>
      </c>
    </row>
    <row r="65" spans="1:10" x14ac:dyDescent="0.25">
      <c r="A65" t="s">
        <v>1262</v>
      </c>
      <c r="B65" t="str">
        <f t="shared" si="0"/>
        <v>С</v>
      </c>
      <c r="C65" t="s">
        <v>1628</v>
      </c>
      <c r="D65" t="str">
        <f t="shared" si="1"/>
        <v>С</v>
      </c>
      <c r="E65" t="s">
        <v>451</v>
      </c>
      <c r="F65" t="s">
        <v>382</v>
      </c>
      <c r="G65" t="s">
        <v>1606</v>
      </c>
      <c r="H65" s="1">
        <v>21041</v>
      </c>
      <c r="I65" t="s">
        <v>694</v>
      </c>
      <c r="J65" t="str">
        <f t="shared" si="2"/>
        <v>&lt;img src="https://flagcdn.com/w40/sv.png" alt="Сальвадор flag"&gt;</v>
      </c>
    </row>
    <row r="66" spans="1:10" x14ac:dyDescent="0.25">
      <c r="A66" t="s">
        <v>1263</v>
      </c>
      <c r="B66" t="str">
        <f t="shared" si="0"/>
        <v>Э</v>
      </c>
      <c r="C66" t="s">
        <v>1467</v>
      </c>
      <c r="D66" t="str">
        <f t="shared" si="1"/>
        <v>М</v>
      </c>
      <c r="E66" t="s">
        <v>451</v>
      </c>
      <c r="F66" t="s">
        <v>163</v>
      </c>
      <c r="G66" t="s">
        <v>1604</v>
      </c>
      <c r="H66" s="1">
        <v>28051</v>
      </c>
      <c r="I66" t="s">
        <v>694</v>
      </c>
      <c r="J66" t="str">
        <f t="shared" si="2"/>
        <v>&lt;img src="https://flagcdn.com/w40/gq.png" alt="Экваториальная Гвинея flag"&gt;</v>
      </c>
    </row>
    <row r="67" spans="1:10" x14ac:dyDescent="0.25">
      <c r="A67" t="s">
        <v>1264</v>
      </c>
      <c r="B67" t="str">
        <f t="shared" ref="B67:B130" si="3">LEFT(A67)</f>
        <v>Э</v>
      </c>
      <c r="C67" t="s">
        <v>1468</v>
      </c>
      <c r="D67" t="str">
        <f t="shared" ref="D67:D130" si="4">LEFT(C67)</f>
        <v>А</v>
      </c>
      <c r="E67" t="s">
        <v>451</v>
      </c>
      <c r="F67" t="s">
        <v>123</v>
      </c>
      <c r="G67" t="s">
        <v>1604</v>
      </c>
      <c r="H67" s="1">
        <v>117600</v>
      </c>
      <c r="I67" t="s">
        <v>694</v>
      </c>
      <c r="J67" t="str">
        <f t="shared" ref="J67:J130" si="5">"&lt;img src=""https://flagcdn.com/w40/" &amp; LOWER(F67) &amp; ".png"" alt=""" &amp; A67 &amp; " flag""&gt;"</f>
        <v>&lt;img src="https://flagcdn.com/w40/er.png" alt="Эритрея flag"&gt;</v>
      </c>
    </row>
    <row r="68" spans="1:10" x14ac:dyDescent="0.25">
      <c r="A68" t="s">
        <v>1265</v>
      </c>
      <c r="B68" t="str">
        <f t="shared" si="3"/>
        <v>Э</v>
      </c>
      <c r="C68" t="s">
        <v>1469</v>
      </c>
      <c r="D68" t="str">
        <f t="shared" si="4"/>
        <v>Т</v>
      </c>
      <c r="E68" t="s">
        <v>451</v>
      </c>
      <c r="F68" t="s">
        <v>119</v>
      </c>
      <c r="G68" t="s">
        <v>1603</v>
      </c>
      <c r="H68" s="1">
        <v>45228</v>
      </c>
      <c r="I68" t="s">
        <v>694</v>
      </c>
      <c r="J68" t="str">
        <f t="shared" si="5"/>
        <v>&lt;img src="https://flagcdn.com/w40/ee.png" alt="Эстония flag"&gt;</v>
      </c>
    </row>
    <row r="69" spans="1:10" x14ac:dyDescent="0.25">
      <c r="A69" t="s">
        <v>1266</v>
      </c>
      <c r="B69" t="str">
        <f t="shared" si="3"/>
        <v>Э</v>
      </c>
      <c r="C69" t="s">
        <v>1629</v>
      </c>
      <c r="D69" t="str">
        <f t="shared" si="4"/>
        <v>А</v>
      </c>
      <c r="E69" t="s">
        <v>451</v>
      </c>
      <c r="F69" t="s">
        <v>127</v>
      </c>
      <c r="G69" t="s">
        <v>1604</v>
      </c>
      <c r="H69" s="1">
        <v>1104300</v>
      </c>
      <c r="I69" t="s">
        <v>694</v>
      </c>
      <c r="J69" t="str">
        <f t="shared" si="5"/>
        <v>&lt;img src="https://flagcdn.com/w40/et.png" alt="Эфиопия flag"&gt;</v>
      </c>
    </row>
    <row r="70" spans="1:10" x14ac:dyDescent="0.25">
      <c r="A70" t="s">
        <v>1267</v>
      </c>
      <c r="B70" t="str">
        <f t="shared" si="3"/>
        <v>Ф</v>
      </c>
      <c r="C70" t="s">
        <v>1470</v>
      </c>
      <c r="D70" t="str">
        <f t="shared" si="4"/>
        <v>С</v>
      </c>
      <c r="E70" t="s">
        <v>451</v>
      </c>
      <c r="F70" t="s">
        <v>133</v>
      </c>
      <c r="G70" t="s">
        <v>1607</v>
      </c>
      <c r="H70" s="1">
        <v>12173</v>
      </c>
      <c r="I70" t="s">
        <v>695</v>
      </c>
      <c r="J70" t="str">
        <f t="shared" si="5"/>
        <v>&lt;img src="https://flagcdn.com/w40/fk.png" alt="Фолклендские острова flag"&gt;</v>
      </c>
    </row>
    <row r="71" spans="1:10" x14ac:dyDescent="0.25">
      <c r="A71" t="s">
        <v>1268</v>
      </c>
      <c r="B71" t="str">
        <f t="shared" si="3"/>
        <v>Ф</v>
      </c>
      <c r="C71" t="s">
        <v>1471</v>
      </c>
      <c r="D71" t="str">
        <f t="shared" si="4"/>
        <v>Т</v>
      </c>
      <c r="E71" t="s">
        <v>451</v>
      </c>
      <c r="F71" t="s">
        <v>137</v>
      </c>
      <c r="G71" t="s">
        <v>1603</v>
      </c>
      <c r="H71" s="1">
        <v>1393</v>
      </c>
      <c r="I71" t="s">
        <v>695</v>
      </c>
      <c r="J71" t="str">
        <f t="shared" si="5"/>
        <v>&lt;img src="https://flagcdn.com/w40/fo.png" alt="Фарерские острова flag"&gt;</v>
      </c>
    </row>
    <row r="72" spans="1:10" x14ac:dyDescent="0.25">
      <c r="A72" t="s">
        <v>1269</v>
      </c>
      <c r="B72" t="str">
        <f t="shared" si="3"/>
        <v>М</v>
      </c>
      <c r="C72" t="s">
        <v>1472</v>
      </c>
      <c r="D72" t="str">
        <f t="shared" si="4"/>
        <v>П</v>
      </c>
      <c r="E72" t="s">
        <v>451</v>
      </c>
      <c r="F72" t="s">
        <v>135</v>
      </c>
      <c r="G72" t="s">
        <v>1605</v>
      </c>
      <c r="H72" s="1">
        <v>702</v>
      </c>
      <c r="I72" t="s">
        <v>694</v>
      </c>
      <c r="J72" t="str">
        <f t="shared" si="5"/>
        <v>&lt;img src="https://flagcdn.com/w40/fm.png" alt="Микронезия flag"&gt;</v>
      </c>
    </row>
    <row r="73" spans="1:10" x14ac:dyDescent="0.25">
      <c r="A73" t="s">
        <v>1270</v>
      </c>
      <c r="B73" t="str">
        <f t="shared" si="3"/>
        <v>Ф</v>
      </c>
      <c r="C73" t="s">
        <v>1473</v>
      </c>
      <c r="D73" t="str">
        <f t="shared" si="4"/>
        <v>С</v>
      </c>
      <c r="E73" t="s">
        <v>451</v>
      </c>
      <c r="F73" t="s">
        <v>131</v>
      </c>
      <c r="G73" t="s">
        <v>1605</v>
      </c>
      <c r="H73" s="1">
        <v>18274</v>
      </c>
      <c r="I73" t="s">
        <v>694</v>
      </c>
      <c r="J73" t="str">
        <f t="shared" si="5"/>
        <v>&lt;img src="https://flagcdn.com/w40/fj.png" alt="Фиджи flag"&gt;</v>
      </c>
    </row>
    <row r="74" spans="1:10" x14ac:dyDescent="0.25">
      <c r="A74" t="s">
        <v>1271</v>
      </c>
      <c r="B74" t="str">
        <f t="shared" si="3"/>
        <v>Ф</v>
      </c>
      <c r="C74" t="s">
        <v>1474</v>
      </c>
      <c r="D74" t="str">
        <f t="shared" si="4"/>
        <v>Х</v>
      </c>
      <c r="E74" t="s">
        <v>451</v>
      </c>
      <c r="F74" t="s">
        <v>129</v>
      </c>
      <c r="G74" t="s">
        <v>1603</v>
      </c>
      <c r="H74" s="1">
        <v>338145</v>
      </c>
      <c r="I74" t="s">
        <v>694</v>
      </c>
      <c r="J74" t="str">
        <f t="shared" si="5"/>
        <v>&lt;img src="https://flagcdn.com/w40/fi.png" alt="Финляндия flag"&gt;</v>
      </c>
    </row>
    <row r="75" spans="1:10" x14ac:dyDescent="0.25">
      <c r="A75" t="s">
        <v>1272</v>
      </c>
      <c r="B75" t="str">
        <f t="shared" si="3"/>
        <v>Ф</v>
      </c>
      <c r="C75" t="s">
        <v>1475</v>
      </c>
      <c r="D75" t="str">
        <f t="shared" si="4"/>
        <v>П</v>
      </c>
      <c r="E75" t="s">
        <v>451</v>
      </c>
      <c r="F75" t="s">
        <v>139</v>
      </c>
      <c r="G75" t="s">
        <v>1603</v>
      </c>
      <c r="H75" s="1">
        <v>643801</v>
      </c>
      <c r="I75" t="s">
        <v>694</v>
      </c>
      <c r="J75" t="str">
        <f t="shared" si="5"/>
        <v>&lt;img src="https://flagcdn.com/w40/fr.png" alt="Франция flag"&gt;</v>
      </c>
    </row>
    <row r="76" spans="1:10" x14ac:dyDescent="0.25">
      <c r="A76" t="s">
        <v>1273</v>
      </c>
      <c r="B76" t="str">
        <f t="shared" si="3"/>
        <v>Ф</v>
      </c>
      <c r="C76" t="s">
        <v>1476</v>
      </c>
      <c r="D76" t="str">
        <f t="shared" si="4"/>
        <v>К</v>
      </c>
      <c r="E76" t="s">
        <v>451</v>
      </c>
      <c r="F76" t="s">
        <v>149</v>
      </c>
      <c r="G76" t="s">
        <v>1607</v>
      </c>
      <c r="H76" s="1">
        <v>86504</v>
      </c>
      <c r="I76" t="s">
        <v>695</v>
      </c>
      <c r="J76" t="str">
        <f t="shared" si="5"/>
        <v>&lt;img src="https://flagcdn.com/w40/gf.png" alt="Французская Гвиана flag"&gt;</v>
      </c>
    </row>
    <row r="77" spans="1:10" x14ac:dyDescent="0.25">
      <c r="A77" t="s">
        <v>1274</v>
      </c>
      <c r="B77" t="str">
        <f t="shared" si="3"/>
        <v>Ф</v>
      </c>
      <c r="C77" t="s">
        <v>1477</v>
      </c>
      <c r="D77" t="str">
        <f t="shared" si="4"/>
        <v>П</v>
      </c>
      <c r="E77" t="s">
        <v>451</v>
      </c>
      <c r="F77" t="s">
        <v>321</v>
      </c>
      <c r="G77" t="s">
        <v>1605</v>
      </c>
      <c r="H77" s="1">
        <v>4167</v>
      </c>
      <c r="I77" t="s">
        <v>695</v>
      </c>
      <c r="J77" t="str">
        <f t="shared" si="5"/>
        <v>&lt;img src="https://flagcdn.com/w40/pf.png" alt="Французская Полинезия flag"&gt;</v>
      </c>
    </row>
    <row r="78" spans="1:10" x14ac:dyDescent="0.25">
      <c r="A78" t="s">
        <v>1275</v>
      </c>
      <c r="B78" t="str">
        <f t="shared" si="3"/>
        <v>Г</v>
      </c>
      <c r="C78" t="s">
        <v>1478</v>
      </c>
      <c r="D78" t="str">
        <f t="shared" si="4"/>
        <v>Л</v>
      </c>
      <c r="E78" t="s">
        <v>451</v>
      </c>
      <c r="F78" t="s">
        <v>141</v>
      </c>
      <c r="G78" t="s">
        <v>1604</v>
      </c>
      <c r="H78" s="1">
        <v>267667</v>
      </c>
      <c r="I78" t="s">
        <v>694</v>
      </c>
      <c r="J78" t="str">
        <f t="shared" si="5"/>
        <v>&lt;img src="https://flagcdn.com/w40/ga.png" alt="Габон flag"&gt;</v>
      </c>
    </row>
    <row r="79" spans="1:10" x14ac:dyDescent="0.25">
      <c r="A79" t="s">
        <v>1276</v>
      </c>
      <c r="B79" t="str">
        <f t="shared" si="3"/>
        <v>Г</v>
      </c>
      <c r="C79" t="s">
        <v>1479</v>
      </c>
      <c r="D79" t="str">
        <f t="shared" si="4"/>
        <v>Б</v>
      </c>
      <c r="E79" t="s">
        <v>451</v>
      </c>
      <c r="F79" t="s">
        <v>159</v>
      </c>
      <c r="G79" t="s">
        <v>1604</v>
      </c>
      <c r="H79" s="1">
        <v>11295</v>
      </c>
      <c r="I79" t="s">
        <v>694</v>
      </c>
      <c r="J79" t="str">
        <f t="shared" si="5"/>
        <v>&lt;img src="https://flagcdn.com/w40/gm.png" alt="Гамбия flag"&gt;</v>
      </c>
    </row>
    <row r="80" spans="1:10" x14ac:dyDescent="0.25">
      <c r="A80" t="s">
        <v>1277</v>
      </c>
      <c r="B80" t="str">
        <f t="shared" si="3"/>
        <v>Г</v>
      </c>
      <c r="C80" t="s">
        <v>1480</v>
      </c>
      <c r="D80" t="str">
        <f t="shared" si="4"/>
        <v>Т</v>
      </c>
      <c r="E80" t="s">
        <v>451</v>
      </c>
      <c r="F80" t="s">
        <v>147</v>
      </c>
      <c r="G80" t="s">
        <v>1603</v>
      </c>
      <c r="H80" s="1">
        <v>69700</v>
      </c>
      <c r="I80" t="s">
        <v>694</v>
      </c>
      <c r="J80" t="str">
        <f t="shared" si="5"/>
        <v>&lt;img src="https://flagcdn.com/w40/ge.png" alt="Грузия flag"&gt;</v>
      </c>
    </row>
    <row r="81" spans="1:10" x14ac:dyDescent="0.25">
      <c r="A81" t="s">
        <v>1278</v>
      </c>
      <c r="B81" t="str">
        <f t="shared" si="3"/>
        <v>Г</v>
      </c>
      <c r="C81" t="s">
        <v>1481</v>
      </c>
      <c r="D81" t="str">
        <f t="shared" si="4"/>
        <v>Б</v>
      </c>
      <c r="E81" t="s">
        <v>451</v>
      </c>
      <c r="F81" t="s">
        <v>105</v>
      </c>
      <c r="G81" t="s">
        <v>1603</v>
      </c>
      <c r="H81" s="1">
        <v>357022</v>
      </c>
      <c r="I81" t="s">
        <v>694</v>
      </c>
      <c r="J81" t="str">
        <f t="shared" si="5"/>
        <v>&lt;img src="https://flagcdn.com/w40/de.png" alt="Германия flag"&gt;</v>
      </c>
    </row>
    <row r="82" spans="1:10" x14ac:dyDescent="0.25">
      <c r="A82" t="s">
        <v>1279</v>
      </c>
      <c r="B82" t="str">
        <f t="shared" si="3"/>
        <v>Г</v>
      </c>
      <c r="C82" t="s">
        <v>1482</v>
      </c>
      <c r="D82" t="str">
        <f t="shared" si="4"/>
        <v>А</v>
      </c>
      <c r="E82" t="s">
        <v>451</v>
      </c>
      <c r="F82" t="s">
        <v>153</v>
      </c>
      <c r="G82" t="s">
        <v>1604</v>
      </c>
      <c r="H82" s="1">
        <v>238533</v>
      </c>
      <c r="I82" t="s">
        <v>694</v>
      </c>
      <c r="J82" t="str">
        <f t="shared" si="5"/>
        <v>&lt;img src="https://flagcdn.com/w40/gh.png" alt="Гана flag"&gt;</v>
      </c>
    </row>
    <row r="83" spans="1:10" x14ac:dyDescent="0.25">
      <c r="A83" t="s">
        <v>1280</v>
      </c>
      <c r="B83" t="str">
        <f t="shared" si="3"/>
        <v>Г</v>
      </c>
      <c r="C83" t="s">
        <v>1280</v>
      </c>
      <c r="D83" t="str">
        <f t="shared" si="4"/>
        <v>Г</v>
      </c>
      <c r="E83" t="s">
        <v>451</v>
      </c>
      <c r="F83" t="s">
        <v>155</v>
      </c>
      <c r="G83" t="s">
        <v>1603</v>
      </c>
      <c r="H83" s="1">
        <v>6</v>
      </c>
      <c r="I83" t="s">
        <v>695</v>
      </c>
      <c r="J83" t="str">
        <f t="shared" si="5"/>
        <v>&lt;img src="https://flagcdn.com/w40/gi.png" alt="Гибралтар flag"&gt;</v>
      </c>
    </row>
    <row r="84" spans="1:10" x14ac:dyDescent="0.25">
      <c r="A84" t="s">
        <v>1281</v>
      </c>
      <c r="B84" t="str">
        <f t="shared" si="3"/>
        <v>Г</v>
      </c>
      <c r="C84" t="s">
        <v>1483</v>
      </c>
      <c r="D84" t="str">
        <f t="shared" si="4"/>
        <v>А</v>
      </c>
      <c r="E84" t="s">
        <v>451</v>
      </c>
      <c r="F84" t="s">
        <v>165</v>
      </c>
      <c r="G84" t="s">
        <v>1603</v>
      </c>
      <c r="H84" s="1">
        <v>131957</v>
      </c>
      <c r="I84" t="s">
        <v>694</v>
      </c>
      <c r="J84" t="str">
        <f t="shared" si="5"/>
        <v>&lt;img src="https://flagcdn.com/w40/gr.png" alt="Греция flag"&gt;</v>
      </c>
    </row>
    <row r="85" spans="1:10" x14ac:dyDescent="0.25">
      <c r="A85" t="s">
        <v>1282</v>
      </c>
      <c r="B85" t="str">
        <f t="shared" si="3"/>
        <v>Г</v>
      </c>
      <c r="C85" t="s">
        <v>1484</v>
      </c>
      <c r="D85" t="str">
        <f t="shared" si="4"/>
        <v>Н</v>
      </c>
      <c r="E85" t="s">
        <v>451</v>
      </c>
      <c r="F85" t="s">
        <v>157</v>
      </c>
      <c r="G85" t="s">
        <v>1606</v>
      </c>
      <c r="H85" s="1">
        <v>2166086</v>
      </c>
      <c r="I85" t="s">
        <v>695</v>
      </c>
      <c r="J85" t="str">
        <f t="shared" si="5"/>
        <v>&lt;img src="https://flagcdn.com/w40/gl.png" alt="Гренландия flag"&gt;</v>
      </c>
    </row>
    <row r="86" spans="1:10" x14ac:dyDescent="0.25">
      <c r="A86" t="s">
        <v>1283</v>
      </c>
      <c r="B86" t="str">
        <f t="shared" si="3"/>
        <v>Г</v>
      </c>
      <c r="C86" t="s">
        <v>1630</v>
      </c>
      <c r="D86" t="str">
        <f t="shared" si="4"/>
        <v>С</v>
      </c>
      <c r="E86" t="s">
        <v>451</v>
      </c>
      <c r="F86" t="s">
        <v>145</v>
      </c>
      <c r="G86" t="s">
        <v>1606</v>
      </c>
      <c r="H86" s="1">
        <v>344</v>
      </c>
      <c r="I86" t="s">
        <v>694</v>
      </c>
      <c r="J86" t="str">
        <f t="shared" si="5"/>
        <v>&lt;img src="https://flagcdn.com/w40/gd.png" alt="Гренада flag"&gt;</v>
      </c>
    </row>
    <row r="87" spans="1:10" x14ac:dyDescent="0.25">
      <c r="A87" t="s">
        <v>1284</v>
      </c>
      <c r="B87" t="str">
        <f t="shared" si="3"/>
        <v>Г</v>
      </c>
      <c r="C87" t="s">
        <v>1485</v>
      </c>
      <c r="D87" t="str">
        <f t="shared" si="4"/>
        <v>Х</v>
      </c>
      <c r="E87" t="s">
        <v>451</v>
      </c>
      <c r="F87" t="s">
        <v>171</v>
      </c>
      <c r="G87" t="s">
        <v>1605</v>
      </c>
      <c r="H87" s="1">
        <v>544</v>
      </c>
      <c r="I87" t="s">
        <v>695</v>
      </c>
      <c r="J87" t="str">
        <f t="shared" si="5"/>
        <v>&lt;img src="https://flagcdn.com/w40/gu.png" alt="Гуам flag"&gt;</v>
      </c>
    </row>
    <row r="88" spans="1:10" x14ac:dyDescent="0.25">
      <c r="A88" t="s">
        <v>1285</v>
      </c>
      <c r="B88" t="str">
        <f t="shared" si="3"/>
        <v>Г</v>
      </c>
      <c r="C88" t="s">
        <v>1285</v>
      </c>
      <c r="D88" t="str">
        <f t="shared" si="4"/>
        <v>Г</v>
      </c>
      <c r="E88" t="s">
        <v>451</v>
      </c>
      <c r="F88" t="s">
        <v>169</v>
      </c>
      <c r="G88" t="s">
        <v>1606</v>
      </c>
      <c r="H88" s="1">
        <v>108889</v>
      </c>
      <c r="I88" t="s">
        <v>694</v>
      </c>
      <c r="J88" t="str">
        <f t="shared" si="5"/>
        <v>&lt;img src="https://flagcdn.com/w40/gt.png" alt="Гватемала flag"&gt;</v>
      </c>
    </row>
    <row r="89" spans="1:10" x14ac:dyDescent="0.25">
      <c r="A89" t="s">
        <v>1286</v>
      </c>
      <c r="B89" t="str">
        <f t="shared" si="3"/>
        <v>Г</v>
      </c>
      <c r="C89" t="s">
        <v>1631</v>
      </c>
      <c r="D89" t="str">
        <f t="shared" si="4"/>
        <v>С</v>
      </c>
      <c r="E89" t="s">
        <v>451</v>
      </c>
      <c r="F89" t="s">
        <v>151</v>
      </c>
      <c r="G89" t="s">
        <v>1603</v>
      </c>
      <c r="H89" s="1">
        <v>78</v>
      </c>
      <c r="I89" t="s">
        <v>695</v>
      </c>
      <c r="J89" t="str">
        <f t="shared" si="5"/>
        <v>&lt;img src="https://flagcdn.com/w40/gg.png" alt="Гернси flag"&gt;</v>
      </c>
    </row>
    <row r="90" spans="1:10" x14ac:dyDescent="0.25">
      <c r="A90" t="s">
        <v>1287</v>
      </c>
      <c r="B90" t="str">
        <f t="shared" si="3"/>
        <v>Г</v>
      </c>
      <c r="C90" t="s">
        <v>1486</v>
      </c>
      <c r="D90" t="str">
        <f t="shared" si="4"/>
        <v>К</v>
      </c>
      <c r="E90" t="s">
        <v>451</v>
      </c>
      <c r="F90" t="s">
        <v>161</v>
      </c>
      <c r="G90" t="s">
        <v>1604</v>
      </c>
      <c r="H90" s="1">
        <v>245857</v>
      </c>
      <c r="I90" t="s">
        <v>694</v>
      </c>
      <c r="J90" t="str">
        <f t="shared" si="5"/>
        <v>&lt;img src="https://flagcdn.com/w40/gn.png" alt="Гвинея flag"&gt;</v>
      </c>
    </row>
    <row r="91" spans="1:10" x14ac:dyDescent="0.25">
      <c r="A91" t="s">
        <v>1632</v>
      </c>
      <c r="B91" t="str">
        <f t="shared" si="3"/>
        <v>Г</v>
      </c>
      <c r="C91" t="s">
        <v>1487</v>
      </c>
      <c r="D91" t="str">
        <f t="shared" si="4"/>
        <v>Б</v>
      </c>
      <c r="E91" t="s">
        <v>451</v>
      </c>
      <c r="F91" t="s">
        <v>173</v>
      </c>
      <c r="G91" t="s">
        <v>1604</v>
      </c>
      <c r="H91" s="1">
        <v>36125</v>
      </c>
      <c r="I91" t="s">
        <v>694</v>
      </c>
      <c r="J91" t="str">
        <f t="shared" si="5"/>
        <v>&lt;img src="https://flagcdn.com/w40/gw.png" alt="Гвинея Бисау flag"&gt;</v>
      </c>
    </row>
    <row r="92" spans="1:10" x14ac:dyDescent="0.25">
      <c r="A92" t="s">
        <v>1288</v>
      </c>
      <c r="B92" t="str">
        <f t="shared" si="3"/>
        <v>Г</v>
      </c>
      <c r="C92" t="s">
        <v>1424</v>
      </c>
      <c r="D92" t="str">
        <f t="shared" si="4"/>
        <v>Д</v>
      </c>
      <c r="E92" t="s">
        <v>451</v>
      </c>
      <c r="F92" t="s">
        <v>175</v>
      </c>
      <c r="G92" t="s">
        <v>1607</v>
      </c>
      <c r="H92" s="1">
        <v>214969</v>
      </c>
      <c r="I92" t="s">
        <v>694</v>
      </c>
      <c r="J92" t="str">
        <f t="shared" si="5"/>
        <v>&lt;img src="https://flagcdn.com/w40/gy.png" alt="Гайана flag"&gt;</v>
      </c>
    </row>
    <row r="93" spans="1:10" x14ac:dyDescent="0.25">
      <c r="A93" t="s">
        <v>1289</v>
      </c>
      <c r="B93" t="str">
        <f t="shared" si="3"/>
        <v>Г</v>
      </c>
      <c r="C93" t="s">
        <v>1633</v>
      </c>
      <c r="D93" t="str">
        <f t="shared" si="4"/>
        <v>П</v>
      </c>
      <c r="E93" t="s">
        <v>451</v>
      </c>
      <c r="F93" t="s">
        <v>181</v>
      </c>
      <c r="G93" t="s">
        <v>1606</v>
      </c>
      <c r="H93" s="1">
        <v>27750</v>
      </c>
      <c r="I93" t="s">
        <v>694</v>
      </c>
      <c r="J93" t="str">
        <f t="shared" si="5"/>
        <v>&lt;img src="https://flagcdn.com/w40/ht.png" alt="Гаити flag"&gt;</v>
      </c>
    </row>
    <row r="94" spans="1:10" x14ac:dyDescent="0.25">
      <c r="A94" t="s">
        <v>1290</v>
      </c>
      <c r="B94" t="str">
        <f t="shared" si="3"/>
        <v>Г</v>
      </c>
      <c r="C94" t="s">
        <v>1488</v>
      </c>
      <c r="D94" t="str">
        <f t="shared" si="4"/>
        <v>Т</v>
      </c>
      <c r="E94" t="s">
        <v>451</v>
      </c>
      <c r="F94" t="s">
        <v>177</v>
      </c>
      <c r="G94" t="s">
        <v>1606</v>
      </c>
      <c r="H94" s="1">
        <v>112090</v>
      </c>
      <c r="I94" t="s">
        <v>694</v>
      </c>
      <c r="J94" t="str">
        <f t="shared" si="5"/>
        <v>&lt;img src="https://flagcdn.com/w40/hn.png" alt="Гондурас flag"&gt;</v>
      </c>
    </row>
    <row r="95" spans="1:10" x14ac:dyDescent="0.25">
      <c r="A95" t="s">
        <v>1291</v>
      </c>
      <c r="B95" t="str">
        <f t="shared" si="3"/>
        <v>В</v>
      </c>
      <c r="C95" t="s">
        <v>1489</v>
      </c>
      <c r="D95" t="str">
        <f t="shared" si="4"/>
        <v>Б</v>
      </c>
      <c r="E95" t="s">
        <v>451</v>
      </c>
      <c r="F95" t="s">
        <v>182</v>
      </c>
      <c r="G95" t="s">
        <v>1603</v>
      </c>
      <c r="H95" s="1">
        <v>93028</v>
      </c>
      <c r="I95" t="s">
        <v>694</v>
      </c>
      <c r="J95" t="str">
        <f t="shared" si="5"/>
        <v>&lt;img src="https://flagcdn.com/w40/hu.png" alt="Венгрия flag"&gt;</v>
      </c>
    </row>
    <row r="96" spans="1:10" x14ac:dyDescent="0.25">
      <c r="A96" t="s">
        <v>1292</v>
      </c>
      <c r="B96" t="str">
        <f t="shared" si="3"/>
        <v>И</v>
      </c>
      <c r="C96" t="s">
        <v>1490</v>
      </c>
      <c r="D96" t="str">
        <f t="shared" si="4"/>
        <v>Р</v>
      </c>
      <c r="E96" t="s">
        <v>451</v>
      </c>
      <c r="F96" t="s">
        <v>198</v>
      </c>
      <c r="G96" t="s">
        <v>1603</v>
      </c>
      <c r="H96" s="1">
        <v>103000</v>
      </c>
      <c r="I96" t="s">
        <v>694</v>
      </c>
      <c r="J96" t="str">
        <f t="shared" si="5"/>
        <v>&lt;img src="https://flagcdn.com/w40/is.png" alt="Исландия flag"&gt;</v>
      </c>
    </row>
    <row r="97" spans="1:10" x14ac:dyDescent="0.25">
      <c r="A97" t="s">
        <v>1293</v>
      </c>
      <c r="B97" t="str">
        <f t="shared" si="3"/>
        <v>И</v>
      </c>
      <c r="C97" t="s">
        <v>1634</v>
      </c>
      <c r="D97" t="str">
        <f t="shared" si="4"/>
        <v>Н</v>
      </c>
      <c r="E97" t="s">
        <v>451</v>
      </c>
      <c r="F97" t="s">
        <v>192</v>
      </c>
      <c r="G97" t="s">
        <v>1602</v>
      </c>
      <c r="H97" s="1">
        <v>3287263</v>
      </c>
      <c r="I97" t="s">
        <v>694</v>
      </c>
      <c r="J97" t="str">
        <f t="shared" si="5"/>
        <v>&lt;img src="https://flagcdn.com/w40/in.png" alt="Индия flag"&gt;</v>
      </c>
    </row>
    <row r="98" spans="1:10" x14ac:dyDescent="0.25">
      <c r="A98" t="s">
        <v>1294</v>
      </c>
      <c r="B98" t="str">
        <f t="shared" si="3"/>
        <v>И</v>
      </c>
      <c r="C98" t="s">
        <v>1491</v>
      </c>
      <c r="D98" t="str">
        <f t="shared" si="4"/>
        <v>Д</v>
      </c>
      <c r="E98" t="s">
        <v>451</v>
      </c>
      <c r="F98" t="s">
        <v>184</v>
      </c>
      <c r="G98" t="s">
        <v>1602</v>
      </c>
      <c r="H98" s="1">
        <v>1904569</v>
      </c>
      <c r="I98" t="s">
        <v>694</v>
      </c>
      <c r="J98" t="str">
        <f t="shared" si="5"/>
        <v>&lt;img src="https://flagcdn.com/w40/id.png" alt="Индонезия flag"&gt;</v>
      </c>
    </row>
    <row r="99" spans="1:10" x14ac:dyDescent="0.25">
      <c r="A99" t="s">
        <v>1295</v>
      </c>
      <c r="B99" t="str">
        <f t="shared" si="3"/>
        <v>И</v>
      </c>
      <c r="C99" t="s">
        <v>1492</v>
      </c>
      <c r="D99" t="str">
        <f t="shared" si="4"/>
        <v>Т</v>
      </c>
      <c r="E99" t="s">
        <v>451</v>
      </c>
      <c r="F99" t="s">
        <v>196</v>
      </c>
      <c r="G99" t="s">
        <v>1602</v>
      </c>
      <c r="H99" s="1">
        <v>1648195</v>
      </c>
      <c r="I99" t="s">
        <v>694</v>
      </c>
      <c r="J99" t="str">
        <f t="shared" si="5"/>
        <v>&lt;img src="https://flagcdn.com/w40/ir.png" alt="Иран flag"&gt;</v>
      </c>
    </row>
    <row r="100" spans="1:10" x14ac:dyDescent="0.25">
      <c r="A100" t="s">
        <v>1296</v>
      </c>
      <c r="B100" t="str">
        <f t="shared" si="3"/>
        <v>И</v>
      </c>
      <c r="C100" t="s">
        <v>1493</v>
      </c>
      <c r="D100" t="str">
        <f t="shared" si="4"/>
        <v>Б</v>
      </c>
      <c r="E100" t="s">
        <v>451</v>
      </c>
      <c r="F100" t="s">
        <v>194</v>
      </c>
      <c r="G100" t="s">
        <v>1602</v>
      </c>
      <c r="H100" s="1">
        <v>438317</v>
      </c>
      <c r="I100" t="s">
        <v>694</v>
      </c>
      <c r="J100" t="str">
        <f t="shared" si="5"/>
        <v>&lt;img src="https://flagcdn.com/w40/iq.png" alt="Ирак flag"&gt;</v>
      </c>
    </row>
    <row r="101" spans="1:10" x14ac:dyDescent="0.25">
      <c r="A101" t="s">
        <v>1297</v>
      </c>
      <c r="B101" t="str">
        <f t="shared" si="3"/>
        <v>И</v>
      </c>
      <c r="C101" t="s">
        <v>1494</v>
      </c>
      <c r="D101" t="str">
        <f t="shared" si="4"/>
        <v>Д</v>
      </c>
      <c r="E101" t="s">
        <v>451</v>
      </c>
      <c r="F101" t="s">
        <v>186</v>
      </c>
      <c r="G101" t="s">
        <v>1603</v>
      </c>
      <c r="H101" s="1">
        <v>70273</v>
      </c>
      <c r="I101" t="s">
        <v>694</v>
      </c>
      <c r="J101" t="str">
        <f t="shared" si="5"/>
        <v>&lt;img src="https://flagcdn.com/w40/ie.png" alt="Ирландия flag"&gt;</v>
      </c>
    </row>
    <row r="102" spans="1:10" x14ac:dyDescent="0.25">
      <c r="A102" t="s">
        <v>1298</v>
      </c>
      <c r="B102" t="str">
        <f t="shared" si="3"/>
        <v>О</v>
      </c>
      <c r="C102" t="s">
        <v>1495</v>
      </c>
      <c r="D102" t="str">
        <f t="shared" si="4"/>
        <v>Д</v>
      </c>
      <c r="E102" t="s">
        <v>451</v>
      </c>
      <c r="F102" t="s">
        <v>190</v>
      </c>
      <c r="G102" t="s">
        <v>1603</v>
      </c>
      <c r="H102" s="1">
        <v>572</v>
      </c>
      <c r="I102" t="s">
        <v>695</v>
      </c>
      <c r="J102" t="str">
        <f t="shared" si="5"/>
        <v>&lt;img src="https://flagcdn.com/w40/im.png" alt="Остров Мэн flag"&gt;</v>
      </c>
    </row>
    <row r="103" spans="1:10" x14ac:dyDescent="0.25">
      <c r="A103" t="s">
        <v>1299</v>
      </c>
      <c r="B103" t="str">
        <f t="shared" si="3"/>
        <v>И</v>
      </c>
      <c r="C103" t="s">
        <v>1496</v>
      </c>
      <c r="D103" t="str">
        <f t="shared" si="4"/>
        <v>И</v>
      </c>
      <c r="E103" t="s">
        <v>451</v>
      </c>
      <c r="F103" t="s">
        <v>188</v>
      </c>
      <c r="G103" t="s">
        <v>1602</v>
      </c>
      <c r="H103" s="1">
        <v>20770</v>
      </c>
      <c r="I103" t="s">
        <v>694</v>
      </c>
      <c r="J103" t="str">
        <f t="shared" si="5"/>
        <v>&lt;img src="https://flagcdn.com/w40/il.png" alt="Израиль flag"&gt;</v>
      </c>
    </row>
    <row r="104" spans="1:10" x14ac:dyDescent="0.25">
      <c r="A104" t="s">
        <v>1300</v>
      </c>
      <c r="B104" t="str">
        <f t="shared" si="3"/>
        <v>И</v>
      </c>
      <c r="C104" t="s">
        <v>1497</v>
      </c>
      <c r="D104" t="str">
        <f t="shared" si="4"/>
        <v>Р</v>
      </c>
      <c r="E104" t="s">
        <v>451</v>
      </c>
      <c r="F104" t="s">
        <v>200</v>
      </c>
      <c r="G104" t="s">
        <v>1603</v>
      </c>
      <c r="H104" s="1">
        <v>301340</v>
      </c>
      <c r="I104" t="s">
        <v>694</v>
      </c>
      <c r="J104" t="str">
        <f t="shared" si="5"/>
        <v>&lt;img src="https://flagcdn.com/w40/it.png" alt="Италия flag"&gt;</v>
      </c>
    </row>
    <row r="105" spans="1:10" x14ac:dyDescent="0.25">
      <c r="A105" t="s">
        <v>1301</v>
      </c>
      <c r="B105" t="str">
        <f t="shared" si="3"/>
        <v>Я</v>
      </c>
      <c r="C105" t="s">
        <v>1498</v>
      </c>
      <c r="D105" t="str">
        <f t="shared" si="4"/>
        <v>К</v>
      </c>
      <c r="E105" t="s">
        <v>451</v>
      </c>
      <c r="F105" t="s">
        <v>203</v>
      </c>
      <c r="G105" t="s">
        <v>1606</v>
      </c>
      <c r="H105" s="1">
        <v>10991</v>
      </c>
      <c r="I105" t="s">
        <v>694</v>
      </c>
      <c r="J105" t="str">
        <f t="shared" si="5"/>
        <v>&lt;img src="https://flagcdn.com/w40/jm.png" alt="Ямайка flag"&gt;</v>
      </c>
    </row>
    <row r="106" spans="1:10" x14ac:dyDescent="0.25">
      <c r="A106" t="s">
        <v>1302</v>
      </c>
      <c r="B106" t="str">
        <f t="shared" si="3"/>
        <v>Я</v>
      </c>
      <c r="C106" t="s">
        <v>1499</v>
      </c>
      <c r="D106" t="str">
        <f t="shared" si="4"/>
        <v>Т</v>
      </c>
      <c r="E106" t="s">
        <v>451</v>
      </c>
      <c r="F106" t="s">
        <v>207</v>
      </c>
      <c r="G106" t="s">
        <v>1602</v>
      </c>
      <c r="H106" s="1">
        <v>377915</v>
      </c>
      <c r="I106" t="s">
        <v>694</v>
      </c>
      <c r="J106" t="str">
        <f t="shared" si="5"/>
        <v>&lt;img src="https://flagcdn.com/w40/jp.png" alt="Япония flag"&gt;</v>
      </c>
    </row>
    <row r="107" spans="1:10" x14ac:dyDescent="0.25">
      <c r="A107" t="s">
        <v>1303</v>
      </c>
      <c r="B107" t="str">
        <f t="shared" si="3"/>
        <v>Д</v>
      </c>
      <c r="C107" t="s">
        <v>1635</v>
      </c>
      <c r="D107" t="str">
        <f t="shared" si="4"/>
        <v>С</v>
      </c>
      <c r="E107" t="s">
        <v>451</v>
      </c>
      <c r="F107" t="s">
        <v>201</v>
      </c>
      <c r="G107" t="s">
        <v>1603</v>
      </c>
      <c r="H107" s="1">
        <v>116</v>
      </c>
      <c r="I107" t="s">
        <v>695</v>
      </c>
      <c r="J107" t="str">
        <f t="shared" si="5"/>
        <v>&lt;img src="https://flagcdn.com/w40/je.png" alt="Джерси flag"&gt;</v>
      </c>
    </row>
    <row r="108" spans="1:10" x14ac:dyDescent="0.25">
      <c r="A108" t="s">
        <v>1304</v>
      </c>
      <c r="B108" t="str">
        <f t="shared" si="3"/>
        <v>И</v>
      </c>
      <c r="C108" t="s">
        <v>1500</v>
      </c>
      <c r="D108" t="str">
        <f t="shared" si="4"/>
        <v>А</v>
      </c>
      <c r="E108" t="s">
        <v>451</v>
      </c>
      <c r="F108" t="s">
        <v>205</v>
      </c>
      <c r="G108" t="s">
        <v>1602</v>
      </c>
      <c r="H108" s="1">
        <v>89342</v>
      </c>
      <c r="I108" t="s">
        <v>694</v>
      </c>
      <c r="J108" t="str">
        <f t="shared" si="5"/>
        <v>&lt;img src="https://flagcdn.com/w40/jo.png" alt="Иордания flag"&gt;</v>
      </c>
    </row>
    <row r="109" spans="1:10" x14ac:dyDescent="0.25">
      <c r="A109" t="s">
        <v>1305</v>
      </c>
      <c r="B109" t="str">
        <f t="shared" si="3"/>
        <v>К</v>
      </c>
      <c r="C109" t="s">
        <v>1501</v>
      </c>
      <c r="D109" t="str">
        <f t="shared" si="4"/>
        <v>А</v>
      </c>
      <c r="E109" t="s">
        <v>451</v>
      </c>
      <c r="F109" t="s">
        <v>229</v>
      </c>
      <c r="G109" t="s">
        <v>1603</v>
      </c>
      <c r="H109" s="1">
        <v>2724900</v>
      </c>
      <c r="I109" t="s">
        <v>694</v>
      </c>
      <c r="J109" t="str">
        <f t="shared" si="5"/>
        <v>&lt;img src="https://flagcdn.com/w40/kz.png" alt="Казахстан flag"&gt;</v>
      </c>
    </row>
    <row r="110" spans="1:10" x14ac:dyDescent="0.25">
      <c r="A110" t="s">
        <v>1306</v>
      </c>
      <c r="B110" t="str">
        <f t="shared" si="3"/>
        <v>К</v>
      </c>
      <c r="C110" t="s">
        <v>1502</v>
      </c>
      <c r="D110" t="str">
        <f t="shared" si="4"/>
        <v>Н</v>
      </c>
      <c r="E110" t="s">
        <v>451</v>
      </c>
      <c r="F110" t="s">
        <v>209</v>
      </c>
      <c r="G110" t="s">
        <v>1604</v>
      </c>
      <c r="H110" s="1">
        <v>580367</v>
      </c>
      <c r="I110" t="s">
        <v>694</v>
      </c>
      <c r="J110" t="str">
        <f t="shared" si="5"/>
        <v>&lt;img src="https://flagcdn.com/w40/ke.png" alt="Кения flag"&gt;</v>
      </c>
    </row>
    <row r="111" spans="1:10" x14ac:dyDescent="0.25">
      <c r="A111" t="s">
        <v>1307</v>
      </c>
      <c r="B111" t="str">
        <f t="shared" si="3"/>
        <v>К</v>
      </c>
      <c r="C111" t="s">
        <v>1503</v>
      </c>
      <c r="D111" t="str">
        <f t="shared" si="4"/>
        <v>Т</v>
      </c>
      <c r="E111" t="s">
        <v>451</v>
      </c>
      <c r="F111" t="s">
        <v>215</v>
      </c>
      <c r="G111" t="s">
        <v>1605</v>
      </c>
      <c r="H111" s="1">
        <v>811</v>
      </c>
      <c r="I111" t="s">
        <v>694</v>
      </c>
      <c r="J111" t="str">
        <f t="shared" si="5"/>
        <v>&lt;img src="https://flagcdn.com/w40/ki.png" alt="Кирибати flag"&gt;</v>
      </c>
    </row>
    <row r="112" spans="1:10" x14ac:dyDescent="0.25">
      <c r="A112" t="s">
        <v>1308</v>
      </c>
      <c r="B112" t="str">
        <f t="shared" si="3"/>
        <v>К</v>
      </c>
      <c r="C112" t="s">
        <v>1308</v>
      </c>
      <c r="D112" t="str">
        <f t="shared" si="4"/>
        <v>К</v>
      </c>
      <c r="E112" t="s">
        <v>451</v>
      </c>
      <c r="F112" t="s">
        <v>225</v>
      </c>
      <c r="G112" t="s">
        <v>1602</v>
      </c>
      <c r="H112" s="1">
        <v>17818</v>
      </c>
      <c r="I112" t="s">
        <v>694</v>
      </c>
      <c r="J112" t="str">
        <f t="shared" si="5"/>
        <v>&lt;img src="https://flagcdn.com/w40/kw.png" alt="Кувейт flag"&gt;</v>
      </c>
    </row>
    <row r="113" spans="1:10" x14ac:dyDescent="0.25">
      <c r="A113" t="s">
        <v>1309</v>
      </c>
      <c r="B113" t="str">
        <f t="shared" si="3"/>
        <v>К</v>
      </c>
      <c r="C113" t="s">
        <v>1504</v>
      </c>
      <c r="D113" t="str">
        <f t="shared" si="4"/>
        <v>Б</v>
      </c>
      <c r="E113" t="s">
        <v>451</v>
      </c>
      <c r="F113" t="s">
        <v>211</v>
      </c>
      <c r="G113" t="s">
        <v>1602</v>
      </c>
      <c r="H113" s="1">
        <v>199951</v>
      </c>
      <c r="I113" t="s">
        <v>694</v>
      </c>
      <c r="J113" t="str">
        <f t="shared" si="5"/>
        <v>&lt;img src="https://flagcdn.com/w40/kg.png" alt="Кыргызстан flag"&gt;</v>
      </c>
    </row>
    <row r="114" spans="1:10" x14ac:dyDescent="0.25">
      <c r="A114" t="s">
        <v>1310</v>
      </c>
      <c r="B114" t="str">
        <f t="shared" si="3"/>
        <v>Л</v>
      </c>
      <c r="C114" t="s">
        <v>1505</v>
      </c>
      <c r="D114" t="str">
        <f t="shared" si="4"/>
        <v>В</v>
      </c>
      <c r="E114" t="s">
        <v>451</v>
      </c>
      <c r="F114" t="s">
        <v>231</v>
      </c>
      <c r="G114" t="s">
        <v>1602</v>
      </c>
      <c r="H114" s="1">
        <v>236800</v>
      </c>
      <c r="I114" t="s">
        <v>694</v>
      </c>
      <c r="J114" t="str">
        <f t="shared" si="5"/>
        <v>&lt;img src="https://flagcdn.com/w40/la.png" alt="Лаос flag"&gt;</v>
      </c>
    </row>
    <row r="115" spans="1:10" x14ac:dyDescent="0.25">
      <c r="A115" t="s">
        <v>1311</v>
      </c>
      <c r="B115" t="str">
        <f t="shared" si="3"/>
        <v>Л</v>
      </c>
      <c r="C115" t="s">
        <v>1506</v>
      </c>
      <c r="D115" t="str">
        <f t="shared" si="4"/>
        <v>Р</v>
      </c>
      <c r="E115" t="s">
        <v>451</v>
      </c>
      <c r="F115" t="s">
        <v>248</v>
      </c>
      <c r="G115" t="s">
        <v>1603</v>
      </c>
      <c r="H115" s="1">
        <v>64589</v>
      </c>
      <c r="I115" t="s">
        <v>694</v>
      </c>
      <c r="J115" t="str">
        <f t="shared" si="5"/>
        <v>&lt;img src="https://flagcdn.com/w40/lv.png" alt="Латвия flag"&gt;</v>
      </c>
    </row>
    <row r="116" spans="1:10" x14ac:dyDescent="0.25">
      <c r="A116" t="s">
        <v>1312</v>
      </c>
      <c r="B116" t="str">
        <f t="shared" si="3"/>
        <v>Л</v>
      </c>
      <c r="C116" t="s">
        <v>1507</v>
      </c>
      <c r="D116" t="str">
        <f t="shared" si="4"/>
        <v>Б</v>
      </c>
      <c r="E116" t="s">
        <v>451</v>
      </c>
      <c r="F116" t="s">
        <v>233</v>
      </c>
      <c r="G116" t="s">
        <v>1602</v>
      </c>
      <c r="H116" s="1">
        <v>10400</v>
      </c>
      <c r="I116" t="s">
        <v>694</v>
      </c>
      <c r="J116" t="str">
        <f t="shared" si="5"/>
        <v>&lt;img src="https://flagcdn.com/w40/lb.png" alt="Ливан flag"&gt;</v>
      </c>
    </row>
    <row r="117" spans="1:10" x14ac:dyDescent="0.25">
      <c r="A117" t="s">
        <v>1313</v>
      </c>
      <c r="B117" t="str">
        <f t="shared" si="3"/>
        <v>Л</v>
      </c>
      <c r="C117" t="s">
        <v>1508</v>
      </c>
      <c r="D117" t="str">
        <f t="shared" si="4"/>
        <v>М</v>
      </c>
      <c r="E117" t="s">
        <v>451</v>
      </c>
      <c r="F117" t="s">
        <v>242</v>
      </c>
      <c r="G117" t="s">
        <v>1604</v>
      </c>
      <c r="H117" s="1">
        <v>30355</v>
      </c>
      <c r="I117" t="s">
        <v>694</v>
      </c>
      <c r="J117" t="str">
        <f t="shared" si="5"/>
        <v>&lt;img src="https://flagcdn.com/w40/ls.png" alt="Лесото flag"&gt;</v>
      </c>
    </row>
    <row r="118" spans="1:10" x14ac:dyDescent="0.25">
      <c r="A118" t="s">
        <v>1314</v>
      </c>
      <c r="B118" t="str">
        <f t="shared" si="3"/>
        <v>Л</v>
      </c>
      <c r="C118" t="s">
        <v>1509</v>
      </c>
      <c r="D118" t="str">
        <f t="shared" si="4"/>
        <v>М</v>
      </c>
      <c r="E118" t="s">
        <v>451</v>
      </c>
      <c r="F118" t="s">
        <v>240</v>
      </c>
      <c r="G118" t="s">
        <v>1604</v>
      </c>
      <c r="H118" s="1">
        <v>111369</v>
      </c>
      <c r="I118" t="s">
        <v>694</v>
      </c>
      <c r="J118" t="str">
        <f t="shared" si="5"/>
        <v>&lt;img src="https://flagcdn.com/w40/lr.png" alt="Либерия flag"&gt;</v>
      </c>
    </row>
    <row r="119" spans="1:10" x14ac:dyDescent="0.25">
      <c r="A119" t="s">
        <v>1315</v>
      </c>
      <c r="B119" t="str">
        <f t="shared" si="3"/>
        <v>Л</v>
      </c>
      <c r="C119" t="s">
        <v>1510</v>
      </c>
      <c r="D119" t="str">
        <f t="shared" si="4"/>
        <v>Т</v>
      </c>
      <c r="E119" t="s">
        <v>451</v>
      </c>
      <c r="F119" t="s">
        <v>250</v>
      </c>
      <c r="G119" t="s">
        <v>1604</v>
      </c>
      <c r="H119" s="1">
        <v>1759540</v>
      </c>
      <c r="I119" t="s">
        <v>694</v>
      </c>
      <c r="J119" t="str">
        <f t="shared" si="5"/>
        <v>&lt;img src="https://flagcdn.com/w40/ly.png" alt="Ливия flag"&gt;</v>
      </c>
    </row>
    <row r="120" spans="1:10" x14ac:dyDescent="0.25">
      <c r="A120" t="s">
        <v>1316</v>
      </c>
      <c r="B120" t="str">
        <f t="shared" si="3"/>
        <v>Л</v>
      </c>
      <c r="C120" t="s">
        <v>1511</v>
      </c>
      <c r="D120" t="str">
        <f t="shared" si="4"/>
        <v>В</v>
      </c>
      <c r="E120" t="s">
        <v>451</v>
      </c>
      <c r="F120" t="s">
        <v>237</v>
      </c>
      <c r="G120" t="s">
        <v>1603</v>
      </c>
      <c r="H120" s="1">
        <v>160</v>
      </c>
      <c r="I120" t="s">
        <v>694</v>
      </c>
      <c r="J120" t="str">
        <f t="shared" si="5"/>
        <v>&lt;img src="https://flagcdn.com/w40/li.png" alt="Лихтенштейн flag"&gt;</v>
      </c>
    </row>
    <row r="121" spans="1:10" x14ac:dyDescent="0.25">
      <c r="A121" t="s">
        <v>1317</v>
      </c>
      <c r="B121" t="str">
        <f t="shared" si="3"/>
        <v>Л</v>
      </c>
      <c r="C121" t="s">
        <v>1512</v>
      </c>
      <c r="D121" t="str">
        <f t="shared" si="4"/>
        <v>В</v>
      </c>
      <c r="E121" t="s">
        <v>451</v>
      </c>
      <c r="F121" t="s">
        <v>244</v>
      </c>
      <c r="G121" t="s">
        <v>1603</v>
      </c>
      <c r="H121" s="1">
        <v>65300</v>
      </c>
      <c r="I121" t="s">
        <v>694</v>
      </c>
      <c r="J121" t="str">
        <f t="shared" si="5"/>
        <v>&lt;img src="https://flagcdn.com/w40/lt.png" alt="Литва flag"&gt;</v>
      </c>
    </row>
    <row r="122" spans="1:10" x14ac:dyDescent="0.25">
      <c r="A122" t="s">
        <v>1318</v>
      </c>
      <c r="B122" t="str">
        <f t="shared" si="3"/>
        <v>Л</v>
      </c>
      <c r="C122" t="s">
        <v>1318</v>
      </c>
      <c r="D122" t="str">
        <f t="shared" si="4"/>
        <v>Л</v>
      </c>
      <c r="E122" t="s">
        <v>451</v>
      </c>
      <c r="F122" t="s">
        <v>246</v>
      </c>
      <c r="G122" t="s">
        <v>1603</v>
      </c>
      <c r="H122" s="1">
        <v>2586</v>
      </c>
      <c r="I122" t="s">
        <v>694</v>
      </c>
      <c r="J122" t="str">
        <f t="shared" si="5"/>
        <v>&lt;img src="https://flagcdn.com/w40/lu.png" alt="Люксембург flag"&gt;</v>
      </c>
    </row>
    <row r="123" spans="1:10" x14ac:dyDescent="0.25">
      <c r="A123" t="s">
        <v>1319</v>
      </c>
      <c r="B123" t="str">
        <f t="shared" si="3"/>
        <v>С</v>
      </c>
      <c r="C123" t="s">
        <v>1513</v>
      </c>
      <c r="D123" t="str">
        <f t="shared" si="4"/>
        <v>С</v>
      </c>
      <c r="E123" t="s">
        <v>451</v>
      </c>
      <c r="F123" t="s">
        <v>266</v>
      </c>
      <c r="G123" t="s">
        <v>1603</v>
      </c>
      <c r="H123" s="1">
        <v>25713</v>
      </c>
      <c r="I123" t="s">
        <v>694</v>
      </c>
      <c r="J123" t="str">
        <f t="shared" si="5"/>
        <v>&lt;img src="https://flagcdn.com/w40/mk.png" alt="Северная Македония flag"&gt;</v>
      </c>
    </row>
    <row r="124" spans="1:10" x14ac:dyDescent="0.25">
      <c r="A124" t="s">
        <v>1320</v>
      </c>
      <c r="B124" t="str">
        <f t="shared" si="3"/>
        <v>М</v>
      </c>
      <c r="C124" t="s">
        <v>1514</v>
      </c>
      <c r="D124" t="str">
        <f t="shared" si="4"/>
        <v>А</v>
      </c>
      <c r="E124" t="s">
        <v>451</v>
      </c>
      <c r="F124" t="s">
        <v>262</v>
      </c>
      <c r="G124" t="s">
        <v>1604</v>
      </c>
      <c r="H124" s="1">
        <v>587041</v>
      </c>
      <c r="I124" t="s">
        <v>694</v>
      </c>
      <c r="J124" t="str">
        <f t="shared" si="5"/>
        <v>&lt;img src="https://flagcdn.com/w40/mg.png" alt="Мадагаскар flag"&gt;</v>
      </c>
    </row>
    <row r="125" spans="1:10" x14ac:dyDescent="0.25">
      <c r="A125" t="s">
        <v>1321</v>
      </c>
      <c r="B125" t="str">
        <f t="shared" si="3"/>
        <v>М</v>
      </c>
      <c r="C125" t="s">
        <v>1515</v>
      </c>
      <c r="D125" t="str">
        <f t="shared" si="4"/>
        <v>Л</v>
      </c>
      <c r="E125" t="s">
        <v>451</v>
      </c>
      <c r="F125" t="s">
        <v>285</v>
      </c>
      <c r="G125" t="s">
        <v>1604</v>
      </c>
      <c r="H125" s="1">
        <v>118484</v>
      </c>
      <c r="I125" t="s">
        <v>694</v>
      </c>
      <c r="J125" t="str">
        <f t="shared" si="5"/>
        <v>&lt;img src="https://flagcdn.com/w40/mw.png" alt="Малави flag"&gt;</v>
      </c>
    </row>
    <row r="126" spans="1:10" x14ac:dyDescent="0.25">
      <c r="A126" t="s">
        <v>1322</v>
      </c>
      <c r="B126" t="str">
        <f t="shared" si="3"/>
        <v>М</v>
      </c>
      <c r="C126" t="s">
        <v>1636</v>
      </c>
      <c r="D126" t="str">
        <f t="shared" si="4"/>
        <v>К</v>
      </c>
      <c r="E126" t="s">
        <v>451</v>
      </c>
      <c r="F126" t="s">
        <v>289</v>
      </c>
      <c r="G126" t="s">
        <v>1602</v>
      </c>
      <c r="H126" s="1">
        <v>329847</v>
      </c>
      <c r="I126" t="s">
        <v>694</v>
      </c>
      <c r="J126" t="str">
        <f t="shared" si="5"/>
        <v>&lt;img src="https://flagcdn.com/w40/my.png" alt="Малайзия flag"&gt;</v>
      </c>
    </row>
    <row r="127" spans="1:10" x14ac:dyDescent="0.25">
      <c r="A127" t="s">
        <v>1323</v>
      </c>
      <c r="B127" t="str">
        <f t="shared" si="3"/>
        <v>М</v>
      </c>
      <c r="C127" t="s">
        <v>1516</v>
      </c>
      <c r="D127" t="str">
        <f t="shared" si="4"/>
        <v>М</v>
      </c>
      <c r="E127" t="s">
        <v>451</v>
      </c>
      <c r="F127" t="s">
        <v>283</v>
      </c>
      <c r="G127" t="s">
        <v>1602</v>
      </c>
      <c r="H127" s="1">
        <v>298</v>
      </c>
      <c r="I127" t="s">
        <v>694</v>
      </c>
      <c r="J127" t="str">
        <f t="shared" si="5"/>
        <v>&lt;img src="https://flagcdn.com/w40/mv.png" alt="Мальдивы flag"&gt;</v>
      </c>
    </row>
    <row r="128" spans="1:10" x14ac:dyDescent="0.25">
      <c r="A128" t="s">
        <v>1324</v>
      </c>
      <c r="B128" t="str">
        <f t="shared" si="3"/>
        <v>М</v>
      </c>
      <c r="C128" t="s">
        <v>1517</v>
      </c>
      <c r="D128" t="str">
        <f t="shared" si="4"/>
        <v>Б</v>
      </c>
      <c r="E128" t="s">
        <v>451</v>
      </c>
      <c r="F128" t="s">
        <v>268</v>
      </c>
      <c r="G128" t="s">
        <v>1604</v>
      </c>
      <c r="H128" s="1">
        <v>1240192</v>
      </c>
      <c r="I128" t="s">
        <v>694</v>
      </c>
      <c r="J128" t="str">
        <f t="shared" si="5"/>
        <v>&lt;img src="https://flagcdn.com/w40/ml.png" alt="Мали flag"&gt;</v>
      </c>
    </row>
    <row r="129" spans="1:10" x14ac:dyDescent="0.25">
      <c r="A129" t="s">
        <v>1325</v>
      </c>
      <c r="B129" t="str">
        <f t="shared" si="3"/>
        <v>М</v>
      </c>
      <c r="C129" t="s">
        <v>1518</v>
      </c>
      <c r="D129" t="str">
        <f t="shared" si="4"/>
        <v>В</v>
      </c>
      <c r="E129" t="s">
        <v>451</v>
      </c>
      <c r="F129" t="s">
        <v>279</v>
      </c>
      <c r="G129" t="s">
        <v>1603</v>
      </c>
      <c r="H129" s="1">
        <v>316</v>
      </c>
      <c r="I129" t="s">
        <v>694</v>
      </c>
      <c r="J129" t="str">
        <f t="shared" si="5"/>
        <v>&lt;img src="https://flagcdn.com/w40/mt.png" alt="Мальта flag"&gt;</v>
      </c>
    </row>
    <row r="130" spans="1:10" x14ac:dyDescent="0.25">
      <c r="A130" t="s">
        <v>1326</v>
      </c>
      <c r="B130" t="str">
        <f t="shared" si="3"/>
        <v>М</v>
      </c>
      <c r="C130" t="s">
        <v>1519</v>
      </c>
      <c r="D130" t="str">
        <f t="shared" si="4"/>
        <v>М</v>
      </c>
      <c r="E130" t="s">
        <v>451</v>
      </c>
      <c r="F130" t="s">
        <v>264</v>
      </c>
      <c r="G130" t="s">
        <v>1605</v>
      </c>
      <c r="H130" s="1">
        <v>181</v>
      </c>
      <c r="I130" t="s">
        <v>694</v>
      </c>
      <c r="J130" t="str">
        <f t="shared" si="5"/>
        <v>&lt;img src="https://flagcdn.com/w40/mh.png" alt="Маршалловы острова flag"&gt;</v>
      </c>
    </row>
    <row r="131" spans="1:10" x14ac:dyDescent="0.25">
      <c r="A131" t="s">
        <v>1327</v>
      </c>
      <c r="B131" t="str">
        <f t="shared" ref="B131:B194" si="6">LEFT(A131)</f>
        <v>М</v>
      </c>
      <c r="C131" t="s">
        <v>1520</v>
      </c>
      <c r="D131" t="str">
        <f t="shared" ref="D131:D194" si="7">LEFT(C131)</f>
        <v>Н</v>
      </c>
      <c r="E131" t="s">
        <v>451</v>
      </c>
      <c r="F131" t="s">
        <v>275</v>
      </c>
      <c r="G131" t="s">
        <v>1604</v>
      </c>
      <c r="H131" s="1">
        <v>1030700</v>
      </c>
      <c r="I131" t="s">
        <v>694</v>
      </c>
      <c r="J131" t="str">
        <f t="shared" ref="J131:J194" si="8">"&lt;img src=""https://flagcdn.com/w40/" &amp; LOWER(F131) &amp; ".png"" alt=""" &amp; A131 &amp; " flag""&gt;"</f>
        <v>&lt;img src="https://flagcdn.com/w40/mr.png" alt="Мавритания flag"&gt;</v>
      </c>
    </row>
    <row r="132" spans="1:10" x14ac:dyDescent="0.25">
      <c r="A132" t="s">
        <v>1328</v>
      </c>
      <c r="B132" t="str">
        <f t="shared" si="6"/>
        <v>М</v>
      </c>
      <c r="C132" t="s">
        <v>1637</v>
      </c>
      <c r="D132" t="str">
        <f t="shared" si="7"/>
        <v>П</v>
      </c>
      <c r="E132" t="s">
        <v>451</v>
      </c>
      <c r="F132" t="s">
        <v>281</v>
      </c>
      <c r="G132" t="s">
        <v>1604</v>
      </c>
      <c r="H132" s="1">
        <v>2040</v>
      </c>
      <c r="I132" t="s">
        <v>694</v>
      </c>
      <c r="J132" t="str">
        <f t="shared" si="8"/>
        <v>&lt;img src="https://flagcdn.com/w40/mu.png" alt="Маврикий flag"&gt;</v>
      </c>
    </row>
    <row r="133" spans="1:10" x14ac:dyDescent="0.25">
      <c r="A133" t="s">
        <v>1329</v>
      </c>
      <c r="B133" t="str">
        <f t="shared" si="6"/>
        <v>М</v>
      </c>
      <c r="C133" t="s">
        <v>1521</v>
      </c>
      <c r="D133" t="str">
        <f t="shared" si="7"/>
        <v>М</v>
      </c>
      <c r="E133" t="s">
        <v>451</v>
      </c>
      <c r="F133" t="s">
        <v>287</v>
      </c>
      <c r="G133" t="s">
        <v>1606</v>
      </c>
      <c r="H133" s="1">
        <v>1964375</v>
      </c>
      <c r="I133" t="s">
        <v>694</v>
      </c>
      <c r="J133" t="str">
        <f t="shared" si="8"/>
        <v>&lt;img src="https://flagcdn.com/w40/mx.png" alt="Мексика flag"&gt;</v>
      </c>
    </row>
    <row r="134" spans="1:10" x14ac:dyDescent="0.25">
      <c r="A134" t="s">
        <v>1330</v>
      </c>
      <c r="B134" t="str">
        <f t="shared" si="6"/>
        <v>М</v>
      </c>
      <c r="C134" t="s">
        <v>1522</v>
      </c>
      <c r="D134" t="str">
        <f t="shared" si="7"/>
        <v>К</v>
      </c>
      <c r="E134" t="s">
        <v>451</v>
      </c>
      <c r="F134" t="s">
        <v>256</v>
      </c>
      <c r="G134" t="s">
        <v>1603</v>
      </c>
      <c r="H134" s="1">
        <v>33851</v>
      </c>
      <c r="I134" t="s">
        <v>694</v>
      </c>
      <c r="J134" t="str">
        <f t="shared" si="8"/>
        <v>&lt;img src="https://flagcdn.com/w40/md.png" alt="Молдова flag"&gt;</v>
      </c>
    </row>
    <row r="135" spans="1:10" x14ac:dyDescent="0.25">
      <c r="A135" t="s">
        <v>1331</v>
      </c>
      <c r="B135" t="str">
        <f t="shared" si="6"/>
        <v>М</v>
      </c>
      <c r="C135" t="s">
        <v>1331</v>
      </c>
      <c r="D135" t="str">
        <f t="shared" si="7"/>
        <v>М</v>
      </c>
      <c r="E135" t="s">
        <v>451</v>
      </c>
      <c r="F135" t="s">
        <v>254</v>
      </c>
      <c r="G135" t="s">
        <v>1603</v>
      </c>
      <c r="H135" s="1">
        <v>2</v>
      </c>
      <c r="I135" t="s">
        <v>694</v>
      </c>
      <c r="J135" t="str">
        <f t="shared" si="8"/>
        <v>&lt;img src="https://flagcdn.com/w40/mc.png" alt="Монако flag"&gt;</v>
      </c>
    </row>
    <row r="136" spans="1:10" x14ac:dyDescent="0.25">
      <c r="A136" t="s">
        <v>1332</v>
      </c>
      <c r="B136" t="str">
        <f t="shared" si="6"/>
        <v>М</v>
      </c>
      <c r="C136" t="s">
        <v>1638</v>
      </c>
      <c r="D136" t="str">
        <f t="shared" si="7"/>
        <v>У</v>
      </c>
      <c r="E136" t="s">
        <v>451</v>
      </c>
      <c r="F136" t="s">
        <v>271</v>
      </c>
      <c r="G136" t="s">
        <v>1602</v>
      </c>
      <c r="H136" s="1">
        <v>1564116</v>
      </c>
      <c r="I136" t="s">
        <v>694</v>
      </c>
      <c r="J136" t="str">
        <f t="shared" si="8"/>
        <v>&lt;img src="https://flagcdn.com/w40/mn.png" alt="Монголия flag"&gt;</v>
      </c>
    </row>
    <row r="137" spans="1:10" x14ac:dyDescent="0.25">
      <c r="A137" t="s">
        <v>1333</v>
      </c>
      <c r="B137" t="str">
        <f t="shared" si="6"/>
        <v>Ч</v>
      </c>
      <c r="C137" t="s">
        <v>1523</v>
      </c>
      <c r="D137" t="str">
        <f t="shared" si="7"/>
        <v>П</v>
      </c>
      <c r="E137" t="s">
        <v>451</v>
      </c>
      <c r="F137" t="s">
        <v>258</v>
      </c>
      <c r="G137" t="s">
        <v>1603</v>
      </c>
      <c r="H137" s="1">
        <v>13812</v>
      </c>
      <c r="I137" t="s">
        <v>694</v>
      </c>
      <c r="J137" t="str">
        <f t="shared" si="8"/>
        <v>&lt;img src="https://flagcdn.com/w40/me.png" alt="Черногория flag"&gt;</v>
      </c>
    </row>
    <row r="138" spans="1:10" x14ac:dyDescent="0.25">
      <c r="A138" t="s">
        <v>1334</v>
      </c>
      <c r="B138" t="str">
        <f t="shared" si="6"/>
        <v>М</v>
      </c>
      <c r="C138" t="s">
        <v>1524</v>
      </c>
      <c r="D138" t="str">
        <f t="shared" si="7"/>
        <v>П</v>
      </c>
      <c r="E138" t="s">
        <v>451</v>
      </c>
      <c r="F138" t="s">
        <v>277</v>
      </c>
      <c r="G138" t="s">
        <v>1606</v>
      </c>
      <c r="H138" s="1">
        <v>102</v>
      </c>
      <c r="I138" t="s">
        <v>695</v>
      </c>
      <c r="J138" t="str">
        <f t="shared" si="8"/>
        <v>&lt;img src="https://flagcdn.com/w40/ms.png" alt="Монтсеррат flag"&gt;</v>
      </c>
    </row>
    <row r="139" spans="1:10" x14ac:dyDescent="0.25">
      <c r="A139" t="s">
        <v>1335</v>
      </c>
      <c r="B139" t="str">
        <f t="shared" si="6"/>
        <v>М</v>
      </c>
      <c r="C139" t="s">
        <v>1525</v>
      </c>
      <c r="D139" t="str">
        <f t="shared" si="7"/>
        <v>Р</v>
      </c>
      <c r="E139" t="s">
        <v>451</v>
      </c>
      <c r="F139" t="s">
        <v>252</v>
      </c>
      <c r="G139" t="s">
        <v>1604</v>
      </c>
      <c r="H139" s="1">
        <v>446550</v>
      </c>
      <c r="I139" t="s">
        <v>694</v>
      </c>
      <c r="J139" t="str">
        <f t="shared" si="8"/>
        <v>&lt;img src="https://flagcdn.com/w40/ma.png" alt="Марокко flag"&gt;</v>
      </c>
    </row>
    <row r="140" spans="1:10" x14ac:dyDescent="0.25">
      <c r="A140" t="s">
        <v>1336</v>
      </c>
      <c r="B140" t="str">
        <f t="shared" si="6"/>
        <v>М</v>
      </c>
      <c r="C140" t="s">
        <v>1526</v>
      </c>
      <c r="D140" t="str">
        <f t="shared" si="7"/>
        <v>М</v>
      </c>
      <c r="E140" t="s">
        <v>451</v>
      </c>
      <c r="F140" t="s">
        <v>291</v>
      </c>
      <c r="G140" t="s">
        <v>1604</v>
      </c>
      <c r="H140" s="1">
        <v>799380</v>
      </c>
      <c r="I140" t="s">
        <v>694</v>
      </c>
      <c r="J140" t="str">
        <f t="shared" si="8"/>
        <v>&lt;img src="https://flagcdn.com/w40/mz.png" alt="Мозамбик flag"&gt;</v>
      </c>
    </row>
    <row r="141" spans="1:10" x14ac:dyDescent="0.25">
      <c r="A141" t="s">
        <v>1337</v>
      </c>
      <c r="B141" t="str">
        <f t="shared" si="6"/>
        <v>М</v>
      </c>
      <c r="C141" t="s">
        <v>1527</v>
      </c>
      <c r="D141" t="str">
        <f t="shared" si="7"/>
        <v>Н</v>
      </c>
      <c r="E141" t="s">
        <v>451</v>
      </c>
      <c r="F141" t="s">
        <v>270</v>
      </c>
      <c r="G141" t="s">
        <v>1602</v>
      </c>
      <c r="H141" s="1">
        <v>676578</v>
      </c>
      <c r="I141" t="s">
        <v>694</v>
      </c>
      <c r="J141" t="str">
        <f t="shared" si="8"/>
        <v>&lt;img src="https://flagcdn.com/w40/mm.png" alt="Мьянма flag"&gt;</v>
      </c>
    </row>
    <row r="142" spans="1:10" x14ac:dyDescent="0.25">
      <c r="A142" t="s">
        <v>1338</v>
      </c>
      <c r="B142" t="str">
        <f t="shared" si="6"/>
        <v>Н</v>
      </c>
      <c r="C142" t="s">
        <v>1528</v>
      </c>
      <c r="D142" t="str">
        <f t="shared" si="7"/>
        <v>В</v>
      </c>
      <c r="E142" t="s">
        <v>451</v>
      </c>
      <c r="F142" t="s">
        <v>293</v>
      </c>
      <c r="G142" t="s">
        <v>1604</v>
      </c>
      <c r="H142" s="1">
        <v>824292</v>
      </c>
      <c r="I142" t="s">
        <v>694</v>
      </c>
      <c r="J142" t="str">
        <f t="shared" si="8"/>
        <v>&lt;img src="https://flagcdn.com/w40/na.png" alt="Намибия flag"&gt;</v>
      </c>
    </row>
    <row r="143" spans="1:10" x14ac:dyDescent="0.25">
      <c r="A143" t="s">
        <v>1339</v>
      </c>
      <c r="B143" t="str">
        <f t="shared" si="6"/>
        <v>Н</v>
      </c>
      <c r="C143" t="s">
        <v>1529</v>
      </c>
      <c r="D143" t="str">
        <f t="shared" si="7"/>
        <v>Я</v>
      </c>
      <c r="E143" t="s">
        <v>451</v>
      </c>
      <c r="F143" t="s">
        <v>309</v>
      </c>
      <c r="G143" t="s">
        <v>1605</v>
      </c>
      <c r="H143" s="1">
        <v>21</v>
      </c>
      <c r="I143" t="s">
        <v>694</v>
      </c>
      <c r="J143" t="str">
        <f t="shared" si="8"/>
        <v>&lt;img src="https://flagcdn.com/w40/nr.png" alt="Науру flag"&gt;</v>
      </c>
    </row>
    <row r="144" spans="1:10" x14ac:dyDescent="0.25">
      <c r="A144" t="s">
        <v>1340</v>
      </c>
      <c r="B144" t="str">
        <f t="shared" si="6"/>
        <v>Н</v>
      </c>
      <c r="C144" t="s">
        <v>1530</v>
      </c>
      <c r="D144" t="str">
        <f t="shared" si="7"/>
        <v>К</v>
      </c>
      <c r="E144" t="s">
        <v>451</v>
      </c>
      <c r="F144" t="s">
        <v>307</v>
      </c>
      <c r="G144" t="s">
        <v>1602</v>
      </c>
      <c r="H144" s="1">
        <v>147181</v>
      </c>
      <c r="I144" t="s">
        <v>694</v>
      </c>
      <c r="J144" t="str">
        <f t="shared" si="8"/>
        <v>&lt;img src="https://flagcdn.com/w40/np.png" alt="Непал flag"&gt;</v>
      </c>
    </row>
    <row r="145" spans="1:10" x14ac:dyDescent="0.25">
      <c r="A145" t="s">
        <v>1341</v>
      </c>
      <c r="B145" t="str">
        <f t="shared" si="6"/>
        <v>Н</v>
      </c>
      <c r="C145" t="s">
        <v>1531</v>
      </c>
      <c r="D145" t="str">
        <f t="shared" si="7"/>
        <v>А</v>
      </c>
      <c r="E145" t="s">
        <v>451</v>
      </c>
      <c r="F145" t="s">
        <v>303</v>
      </c>
      <c r="G145" t="s">
        <v>1603</v>
      </c>
      <c r="H145" s="1">
        <v>41543</v>
      </c>
      <c r="I145" t="s">
        <v>694</v>
      </c>
      <c r="J145" t="str">
        <f t="shared" si="8"/>
        <v>&lt;img src="https://flagcdn.com/w40/nl.png" alt="Нидерланды flag"&gt;</v>
      </c>
    </row>
    <row r="146" spans="1:10" x14ac:dyDescent="0.25">
      <c r="A146" t="s">
        <v>1342</v>
      </c>
      <c r="B146" t="str">
        <f t="shared" si="6"/>
        <v>Н</v>
      </c>
      <c r="C146" t="s">
        <v>1532</v>
      </c>
      <c r="D146" t="str">
        <f t="shared" si="7"/>
        <v>Н</v>
      </c>
      <c r="E146" t="s">
        <v>451</v>
      </c>
      <c r="F146" t="s">
        <v>295</v>
      </c>
      <c r="G146" t="s">
        <v>1605</v>
      </c>
      <c r="H146" s="1">
        <v>18575</v>
      </c>
      <c r="I146" t="s">
        <v>695</v>
      </c>
      <c r="J146" t="str">
        <f t="shared" si="8"/>
        <v>&lt;img src="https://flagcdn.com/w40/nc.png" alt="Новая Каледония flag"&gt;</v>
      </c>
    </row>
    <row r="147" spans="1:10" x14ac:dyDescent="0.25">
      <c r="A147" t="s">
        <v>1343</v>
      </c>
      <c r="B147" t="str">
        <f t="shared" si="6"/>
        <v>Н</v>
      </c>
      <c r="C147" t="s">
        <v>1533</v>
      </c>
      <c r="D147" t="str">
        <f t="shared" si="7"/>
        <v>В</v>
      </c>
      <c r="E147" t="s">
        <v>451</v>
      </c>
      <c r="F147" t="s">
        <v>313</v>
      </c>
      <c r="G147" t="s">
        <v>1605</v>
      </c>
      <c r="H147" s="1">
        <v>267710</v>
      </c>
      <c r="I147" t="s">
        <v>694</v>
      </c>
      <c r="J147" t="str">
        <f t="shared" si="8"/>
        <v>&lt;img src="https://flagcdn.com/w40/nz.png" alt="Новая Зеландия flag"&gt;</v>
      </c>
    </row>
    <row r="148" spans="1:10" x14ac:dyDescent="0.25">
      <c r="A148" t="s">
        <v>1344</v>
      </c>
      <c r="B148" t="str">
        <f t="shared" si="6"/>
        <v>Н</v>
      </c>
      <c r="C148" t="s">
        <v>1534</v>
      </c>
      <c r="D148" t="str">
        <f t="shared" si="7"/>
        <v>М</v>
      </c>
      <c r="E148" t="s">
        <v>451</v>
      </c>
      <c r="F148" t="s">
        <v>301</v>
      </c>
      <c r="G148" t="s">
        <v>1606</v>
      </c>
      <c r="H148" s="1">
        <v>130370</v>
      </c>
      <c r="I148" t="s">
        <v>694</v>
      </c>
      <c r="J148" t="str">
        <f t="shared" si="8"/>
        <v>&lt;img src="https://flagcdn.com/w40/ni.png" alt="Никарагуа flag"&gt;</v>
      </c>
    </row>
    <row r="149" spans="1:10" x14ac:dyDescent="0.25">
      <c r="A149" t="s">
        <v>1345</v>
      </c>
      <c r="B149" t="str">
        <f t="shared" si="6"/>
        <v>Н</v>
      </c>
      <c r="C149" t="s">
        <v>1535</v>
      </c>
      <c r="D149" t="str">
        <f t="shared" si="7"/>
        <v>Н</v>
      </c>
      <c r="E149" t="s">
        <v>451</v>
      </c>
      <c r="F149" t="s">
        <v>297</v>
      </c>
      <c r="G149" t="s">
        <v>1604</v>
      </c>
      <c r="H149" s="1">
        <v>1186408</v>
      </c>
      <c r="I149" t="s">
        <v>694</v>
      </c>
      <c r="J149" t="str">
        <f t="shared" si="8"/>
        <v>&lt;img src="https://flagcdn.com/w40/ne.png" alt="Нигер flag"&gt;</v>
      </c>
    </row>
    <row r="150" spans="1:10" x14ac:dyDescent="0.25">
      <c r="A150" t="s">
        <v>1346</v>
      </c>
      <c r="B150" t="str">
        <f t="shared" si="6"/>
        <v>Н</v>
      </c>
      <c r="C150" t="s">
        <v>1536</v>
      </c>
      <c r="D150" t="str">
        <f t="shared" si="7"/>
        <v>А</v>
      </c>
      <c r="E150" t="s">
        <v>451</v>
      </c>
      <c r="F150" t="s">
        <v>299</v>
      </c>
      <c r="G150" t="s">
        <v>1604</v>
      </c>
      <c r="H150" s="1">
        <v>923768</v>
      </c>
      <c r="I150" t="s">
        <v>694</v>
      </c>
      <c r="J150" t="str">
        <f t="shared" si="8"/>
        <v>&lt;img src="https://flagcdn.com/w40/ng.png" alt="Нигерия flag"&gt;</v>
      </c>
    </row>
    <row r="151" spans="1:10" x14ac:dyDescent="0.25">
      <c r="A151" t="s">
        <v>1347</v>
      </c>
      <c r="B151" t="str">
        <f t="shared" si="6"/>
        <v>Н</v>
      </c>
      <c r="C151" t="s">
        <v>1537</v>
      </c>
      <c r="D151" t="str">
        <f t="shared" si="7"/>
        <v>А</v>
      </c>
      <c r="E151" t="s">
        <v>451</v>
      </c>
      <c r="F151" t="s">
        <v>311</v>
      </c>
      <c r="G151" t="s">
        <v>1605</v>
      </c>
      <c r="H151" s="1">
        <v>260</v>
      </c>
      <c r="I151" t="s">
        <v>695</v>
      </c>
      <c r="J151" t="str">
        <f t="shared" si="8"/>
        <v>&lt;img src="https://flagcdn.com/w40/nu.png" alt="Ниуэ flag"&gt;</v>
      </c>
    </row>
    <row r="152" spans="1:10" x14ac:dyDescent="0.25">
      <c r="A152" t="s">
        <v>1348</v>
      </c>
      <c r="B152" t="str">
        <f t="shared" si="6"/>
        <v>О</v>
      </c>
      <c r="C152" t="s">
        <v>1498</v>
      </c>
      <c r="D152" t="str">
        <f t="shared" si="7"/>
        <v>К</v>
      </c>
      <c r="E152" t="s">
        <v>451</v>
      </c>
      <c r="F152" t="s">
        <v>203</v>
      </c>
      <c r="G152" t="s">
        <v>1606</v>
      </c>
      <c r="H152" s="1">
        <v>10991</v>
      </c>
      <c r="I152" t="s">
        <v>695</v>
      </c>
      <c r="J152" t="str">
        <f t="shared" si="8"/>
        <v>&lt;img src="https://flagcdn.com/w40/jm.png" alt="Остров Норфолк flag"&gt;</v>
      </c>
    </row>
    <row r="153" spans="1:10" x14ac:dyDescent="0.25">
      <c r="A153" t="s">
        <v>1349</v>
      </c>
      <c r="B153" t="str">
        <f t="shared" si="6"/>
        <v>С</v>
      </c>
      <c r="C153" t="s">
        <v>1538</v>
      </c>
      <c r="D153" t="str">
        <f t="shared" si="7"/>
        <v>П</v>
      </c>
      <c r="E153" t="s">
        <v>451</v>
      </c>
      <c r="F153" t="s">
        <v>221</v>
      </c>
      <c r="G153" t="s">
        <v>1602</v>
      </c>
      <c r="H153" s="1">
        <v>120538</v>
      </c>
      <c r="I153" t="s">
        <v>694</v>
      </c>
      <c r="J153" t="str">
        <f t="shared" si="8"/>
        <v>&lt;img src="https://flagcdn.com/w40/kp.png" alt="Северная Корея flag"&gt;</v>
      </c>
    </row>
    <row r="154" spans="1:10" x14ac:dyDescent="0.25">
      <c r="A154" t="s">
        <v>1350</v>
      </c>
      <c r="B154" t="str">
        <f t="shared" si="6"/>
        <v>С</v>
      </c>
      <c r="C154" t="s">
        <v>1459</v>
      </c>
      <c r="D154" t="str">
        <f t="shared" si="7"/>
        <v>Н</v>
      </c>
      <c r="E154" t="s">
        <v>451</v>
      </c>
      <c r="F154" t="s">
        <v>101</v>
      </c>
      <c r="G154" t="s">
        <v>1603</v>
      </c>
      <c r="H154" s="1">
        <v>9251</v>
      </c>
      <c r="I154" t="s">
        <v>695</v>
      </c>
      <c r="J154" t="str">
        <f t="shared" si="8"/>
        <v>&lt;img src="https://flagcdn.com/w40/cy.png" alt="Северный Кипр flag"&gt;</v>
      </c>
    </row>
    <row r="155" spans="1:10" x14ac:dyDescent="0.25">
      <c r="A155" t="s">
        <v>1351</v>
      </c>
      <c r="B155" t="str">
        <f t="shared" si="6"/>
        <v>С</v>
      </c>
      <c r="C155" t="s">
        <v>1539</v>
      </c>
      <c r="D155" t="str">
        <f t="shared" si="7"/>
        <v>С</v>
      </c>
      <c r="E155" t="s">
        <v>451</v>
      </c>
      <c r="F155" t="s">
        <v>273</v>
      </c>
      <c r="G155" t="s">
        <v>1605</v>
      </c>
      <c r="H155" s="1">
        <v>464</v>
      </c>
      <c r="I155" t="s">
        <v>695</v>
      </c>
      <c r="J155" t="str">
        <f t="shared" si="8"/>
        <v>&lt;img src="https://flagcdn.com/w40/mp.png" alt="Северные Марианские острова flag"&gt;</v>
      </c>
    </row>
    <row r="156" spans="1:10" x14ac:dyDescent="0.25">
      <c r="A156" t="s">
        <v>1352</v>
      </c>
      <c r="B156" t="str">
        <f t="shared" si="6"/>
        <v>Н</v>
      </c>
      <c r="C156" t="s">
        <v>1540</v>
      </c>
      <c r="D156" t="str">
        <f t="shared" si="7"/>
        <v>О</v>
      </c>
      <c r="E156" t="s">
        <v>451</v>
      </c>
      <c r="F156" t="s">
        <v>305</v>
      </c>
      <c r="G156" t="s">
        <v>1603</v>
      </c>
      <c r="H156" s="1">
        <v>323802</v>
      </c>
      <c r="I156" t="s">
        <v>694</v>
      </c>
      <c r="J156" t="str">
        <f t="shared" si="8"/>
        <v>&lt;img src="https://flagcdn.com/w40/no.png" alt="Норвегия flag"&gt;</v>
      </c>
    </row>
    <row r="157" spans="1:10" x14ac:dyDescent="0.25">
      <c r="A157" t="s">
        <v>1353</v>
      </c>
      <c r="B157" t="str">
        <f t="shared" si="6"/>
        <v>О</v>
      </c>
      <c r="C157" t="s">
        <v>1541</v>
      </c>
      <c r="D157" t="str">
        <f t="shared" si="7"/>
        <v>М</v>
      </c>
      <c r="E157" t="s">
        <v>451</v>
      </c>
      <c r="F157" t="s">
        <v>315</v>
      </c>
      <c r="G157" t="s">
        <v>1602</v>
      </c>
      <c r="H157" s="1">
        <v>309500</v>
      </c>
      <c r="I157" t="s">
        <v>694</v>
      </c>
      <c r="J157" t="str">
        <f t="shared" si="8"/>
        <v>&lt;img src="https://flagcdn.com/w40/om.png" alt="Оман flag"&gt;</v>
      </c>
    </row>
    <row r="158" spans="1:10" x14ac:dyDescent="0.25">
      <c r="A158" t="s">
        <v>1354</v>
      </c>
      <c r="B158" t="str">
        <f t="shared" si="6"/>
        <v>П</v>
      </c>
      <c r="C158" t="s">
        <v>1542</v>
      </c>
      <c r="D158" t="str">
        <f t="shared" si="7"/>
        <v>И</v>
      </c>
      <c r="E158" t="s">
        <v>451</v>
      </c>
      <c r="F158" t="s">
        <v>327</v>
      </c>
      <c r="G158" t="s">
        <v>1602</v>
      </c>
      <c r="H158" s="1">
        <v>796095</v>
      </c>
      <c r="I158" t="s">
        <v>694</v>
      </c>
      <c r="J158" t="str">
        <f t="shared" si="8"/>
        <v>&lt;img src="https://flagcdn.com/w40/pk.png" alt="Пакистан flag"&gt;</v>
      </c>
    </row>
    <row r="159" spans="1:10" x14ac:dyDescent="0.25">
      <c r="A159" t="s">
        <v>1355</v>
      </c>
      <c r="B159" t="str">
        <f t="shared" si="6"/>
        <v>П</v>
      </c>
      <c r="C159" t="s">
        <v>1543</v>
      </c>
      <c r="D159" t="str">
        <f t="shared" si="7"/>
        <v>Н</v>
      </c>
      <c r="E159" t="s">
        <v>451</v>
      </c>
      <c r="F159" t="s">
        <v>337</v>
      </c>
      <c r="G159" t="s">
        <v>1605</v>
      </c>
      <c r="H159" s="1">
        <v>459</v>
      </c>
      <c r="I159" t="s">
        <v>694</v>
      </c>
      <c r="J159" t="str">
        <f t="shared" si="8"/>
        <v>&lt;img src="https://flagcdn.com/w40/pw.png" alt="Палау flag"&gt;</v>
      </c>
    </row>
    <row r="160" spans="1:10" x14ac:dyDescent="0.25">
      <c r="A160" t="s">
        <v>1356</v>
      </c>
      <c r="B160" t="str">
        <f t="shared" si="6"/>
        <v>П</v>
      </c>
      <c r="C160" t="s">
        <v>1496</v>
      </c>
      <c r="D160" t="str">
        <f t="shared" si="7"/>
        <v>И</v>
      </c>
      <c r="E160" t="s">
        <v>451</v>
      </c>
      <c r="F160" t="s">
        <v>188</v>
      </c>
      <c r="G160" t="s">
        <v>1602</v>
      </c>
      <c r="H160" s="1">
        <v>20770</v>
      </c>
      <c r="I160" t="s">
        <v>695</v>
      </c>
      <c r="J160" t="str">
        <f t="shared" si="8"/>
        <v>&lt;img src="https://flagcdn.com/w40/il.png" alt="Палестина flag"&gt;</v>
      </c>
    </row>
    <row r="161" spans="1:10" x14ac:dyDescent="0.25">
      <c r="A161" t="s">
        <v>1357</v>
      </c>
      <c r="B161" t="str">
        <f t="shared" si="6"/>
        <v>П</v>
      </c>
      <c r="C161" t="s">
        <v>1357</v>
      </c>
      <c r="D161" t="str">
        <f t="shared" si="7"/>
        <v>П</v>
      </c>
      <c r="E161" t="s">
        <v>451</v>
      </c>
      <c r="F161" t="s">
        <v>317</v>
      </c>
      <c r="G161" t="s">
        <v>1606</v>
      </c>
      <c r="H161" s="1">
        <v>75420</v>
      </c>
      <c r="I161" t="s">
        <v>694</v>
      </c>
      <c r="J161" t="str">
        <f t="shared" si="8"/>
        <v>&lt;img src="https://flagcdn.com/w40/pa.png" alt="Панама flag"&gt;</v>
      </c>
    </row>
    <row r="162" spans="1:10" x14ac:dyDescent="0.25">
      <c r="A162" t="s">
        <v>1611</v>
      </c>
      <c r="B162" t="str">
        <f t="shared" si="6"/>
        <v>П</v>
      </c>
      <c r="C162" t="s">
        <v>1639</v>
      </c>
      <c r="D162" t="str">
        <f t="shared" si="7"/>
        <v>П</v>
      </c>
      <c r="E162" t="s">
        <v>451</v>
      </c>
      <c r="F162" t="s">
        <v>323</v>
      </c>
      <c r="G162" t="s">
        <v>1605</v>
      </c>
      <c r="H162" s="1">
        <v>462840</v>
      </c>
      <c r="I162" t="s">
        <v>694</v>
      </c>
      <c r="J162" t="str">
        <f t="shared" si="8"/>
        <v>&lt;img src="https://flagcdn.com/w40/pg.png" alt="Папуа Новая Гвинея flag"&gt;</v>
      </c>
    </row>
    <row r="163" spans="1:10" x14ac:dyDescent="0.25">
      <c r="A163" t="s">
        <v>1358</v>
      </c>
      <c r="B163" t="str">
        <f t="shared" si="6"/>
        <v>П</v>
      </c>
      <c r="C163" t="s">
        <v>1544</v>
      </c>
      <c r="D163" t="str">
        <f t="shared" si="7"/>
        <v>А</v>
      </c>
      <c r="E163" t="s">
        <v>451</v>
      </c>
      <c r="F163" t="s">
        <v>338</v>
      </c>
      <c r="G163" t="s">
        <v>1607</v>
      </c>
      <c r="H163" s="1">
        <v>406752</v>
      </c>
      <c r="I163" t="s">
        <v>694</v>
      </c>
      <c r="J163" t="str">
        <f t="shared" si="8"/>
        <v>&lt;img src="https://flagcdn.com/w40/py.png" alt="Парагвай flag"&gt;</v>
      </c>
    </row>
    <row r="164" spans="1:10" x14ac:dyDescent="0.25">
      <c r="A164" t="s">
        <v>1359</v>
      </c>
      <c r="B164" t="str">
        <f t="shared" si="6"/>
        <v>П</v>
      </c>
      <c r="C164" t="s">
        <v>1545</v>
      </c>
      <c r="D164" t="str">
        <f t="shared" si="7"/>
        <v>Л</v>
      </c>
      <c r="E164" t="s">
        <v>451</v>
      </c>
      <c r="F164" t="s">
        <v>319</v>
      </c>
      <c r="G164" t="s">
        <v>1607</v>
      </c>
      <c r="H164" s="1">
        <v>1285216</v>
      </c>
      <c r="I164" t="s">
        <v>694</v>
      </c>
      <c r="J164" t="str">
        <f t="shared" si="8"/>
        <v>&lt;img src="https://flagcdn.com/w40/pe.png" alt="Перу flag"&gt;</v>
      </c>
    </row>
    <row r="165" spans="1:10" x14ac:dyDescent="0.25">
      <c r="A165" t="s">
        <v>1360</v>
      </c>
      <c r="B165" t="str">
        <f t="shared" si="6"/>
        <v>Ф</v>
      </c>
      <c r="C165" t="s">
        <v>1546</v>
      </c>
      <c r="D165" t="str">
        <f t="shared" si="7"/>
        <v>М</v>
      </c>
      <c r="E165" t="s">
        <v>451</v>
      </c>
      <c r="F165" t="s">
        <v>325</v>
      </c>
      <c r="G165" t="s">
        <v>1602</v>
      </c>
      <c r="H165" s="1">
        <v>300000</v>
      </c>
      <c r="I165" t="s">
        <v>694</v>
      </c>
      <c r="J165" t="str">
        <f t="shared" si="8"/>
        <v>&lt;img src="https://flagcdn.com/w40/ph.png" alt="Филиппины flag"&gt;</v>
      </c>
    </row>
    <row r="166" spans="1:10" x14ac:dyDescent="0.25">
      <c r="A166" t="s">
        <v>1361</v>
      </c>
      <c r="B166" t="str">
        <f t="shared" si="6"/>
        <v>О</v>
      </c>
      <c r="C166" t="s">
        <v>1547</v>
      </c>
      <c r="D166" t="str">
        <f t="shared" si="7"/>
        <v>А</v>
      </c>
      <c r="E166" t="s">
        <v>451</v>
      </c>
      <c r="F166" t="s">
        <v>331</v>
      </c>
      <c r="G166" t="s">
        <v>1605</v>
      </c>
      <c r="H166" s="1">
        <v>47</v>
      </c>
      <c r="I166" t="s">
        <v>695</v>
      </c>
      <c r="J166" t="str">
        <f t="shared" si="8"/>
        <v>&lt;img src="https://flagcdn.com/w40/pn.png" alt="Острова Питкэрн flag"&gt;</v>
      </c>
    </row>
    <row r="167" spans="1:10" x14ac:dyDescent="0.25">
      <c r="A167" t="s">
        <v>1362</v>
      </c>
      <c r="B167" t="str">
        <f t="shared" si="6"/>
        <v>П</v>
      </c>
      <c r="C167" t="s">
        <v>1548</v>
      </c>
      <c r="D167" t="str">
        <f t="shared" si="7"/>
        <v>В</v>
      </c>
      <c r="E167" t="s">
        <v>451</v>
      </c>
      <c r="F167" t="s">
        <v>329</v>
      </c>
      <c r="G167" t="s">
        <v>1603</v>
      </c>
      <c r="H167" s="1">
        <v>312685</v>
      </c>
      <c r="I167" t="s">
        <v>694</v>
      </c>
      <c r="J167" t="str">
        <f t="shared" si="8"/>
        <v>&lt;img src="https://flagcdn.com/w40/pl.png" alt="Польша flag"&gt;</v>
      </c>
    </row>
    <row r="168" spans="1:10" x14ac:dyDescent="0.25">
      <c r="A168" t="s">
        <v>1363</v>
      </c>
      <c r="B168" t="str">
        <f t="shared" si="6"/>
        <v>П</v>
      </c>
      <c r="C168" t="s">
        <v>1549</v>
      </c>
      <c r="D168" t="str">
        <f t="shared" si="7"/>
        <v>Л</v>
      </c>
      <c r="E168" t="s">
        <v>451</v>
      </c>
      <c r="F168" t="s">
        <v>335</v>
      </c>
      <c r="G168" t="s">
        <v>1603</v>
      </c>
      <c r="H168" s="1">
        <v>92090</v>
      </c>
      <c r="I168" t="s">
        <v>694</v>
      </c>
      <c r="J168" t="str">
        <f t="shared" si="8"/>
        <v>&lt;img src="https://flagcdn.com/w40/pt.png" alt="Португалия flag"&gt;</v>
      </c>
    </row>
    <row r="169" spans="1:10" x14ac:dyDescent="0.25">
      <c r="A169" t="s">
        <v>1612</v>
      </c>
      <c r="B169" t="str">
        <f t="shared" si="6"/>
        <v>П</v>
      </c>
      <c r="C169" t="s">
        <v>1640</v>
      </c>
      <c r="D169" t="str">
        <f t="shared" si="7"/>
        <v>С</v>
      </c>
      <c r="E169" t="s">
        <v>451</v>
      </c>
      <c r="F169" t="s">
        <v>333</v>
      </c>
      <c r="G169" t="s">
        <v>1606</v>
      </c>
      <c r="H169" s="1">
        <v>13790</v>
      </c>
      <c r="I169" t="s">
        <v>695</v>
      </c>
      <c r="J169" t="str">
        <f t="shared" si="8"/>
        <v>&lt;img src="https://flagcdn.com/w40/pr.png" alt="Пуэрто Рико flag"&gt;</v>
      </c>
    </row>
    <row r="170" spans="1:10" x14ac:dyDescent="0.25">
      <c r="A170" t="s">
        <v>1364</v>
      </c>
      <c r="B170" t="str">
        <f t="shared" si="6"/>
        <v>К</v>
      </c>
      <c r="C170" t="s">
        <v>1550</v>
      </c>
      <c r="D170" t="str">
        <f t="shared" si="7"/>
        <v>Д</v>
      </c>
      <c r="E170" t="s">
        <v>451</v>
      </c>
      <c r="F170" t="s">
        <v>340</v>
      </c>
      <c r="G170" t="s">
        <v>1602</v>
      </c>
      <c r="H170" s="1">
        <v>11586</v>
      </c>
      <c r="I170" t="s">
        <v>694</v>
      </c>
      <c r="J170" t="str">
        <f t="shared" si="8"/>
        <v>&lt;img src="https://flagcdn.com/w40/qa.png" alt="Катар flag"&gt;</v>
      </c>
    </row>
    <row r="171" spans="1:10" x14ac:dyDescent="0.25">
      <c r="A171" t="s">
        <v>1365</v>
      </c>
      <c r="B171" t="str">
        <f t="shared" si="6"/>
        <v>Т</v>
      </c>
      <c r="C171" t="s">
        <v>1551</v>
      </c>
      <c r="D171" t="str">
        <f t="shared" si="7"/>
        <v>Т</v>
      </c>
      <c r="E171" t="s">
        <v>451</v>
      </c>
      <c r="F171" t="s">
        <v>413</v>
      </c>
      <c r="G171" t="s">
        <v>1602</v>
      </c>
      <c r="H171" s="1">
        <v>35980</v>
      </c>
      <c r="I171" t="s">
        <v>694</v>
      </c>
      <c r="J171" t="str">
        <f t="shared" si="8"/>
        <v>&lt;img src="https://flagcdn.com/w40/tw.png" alt="Тайвань flag"&gt;</v>
      </c>
    </row>
    <row r="172" spans="1:10" x14ac:dyDescent="0.25">
      <c r="A172" t="s">
        <v>1366</v>
      </c>
      <c r="B172" t="str">
        <f t="shared" si="6"/>
        <v>К</v>
      </c>
      <c r="C172" t="s">
        <v>1552</v>
      </c>
      <c r="D172" t="str">
        <f t="shared" si="7"/>
        <v>Б</v>
      </c>
      <c r="E172" t="s">
        <v>451</v>
      </c>
      <c r="F172" t="s">
        <v>75</v>
      </c>
      <c r="G172" t="s">
        <v>1604</v>
      </c>
      <c r="H172" s="1">
        <v>342000</v>
      </c>
      <c r="I172" t="s">
        <v>694</v>
      </c>
      <c r="J172" t="str">
        <f t="shared" si="8"/>
        <v>&lt;img src="https://flagcdn.com/w40/cg.png" alt="Конго flag"&gt;</v>
      </c>
    </row>
    <row r="173" spans="1:10" x14ac:dyDescent="0.25">
      <c r="A173" t="s">
        <v>1367</v>
      </c>
      <c r="B173" t="str">
        <f t="shared" si="6"/>
        <v>Р</v>
      </c>
      <c r="C173" t="s">
        <v>1553</v>
      </c>
      <c r="D173" t="str">
        <f t="shared" si="7"/>
        <v>Б</v>
      </c>
      <c r="E173" t="s">
        <v>451</v>
      </c>
      <c r="F173" t="s">
        <v>342</v>
      </c>
      <c r="G173" t="s">
        <v>1603</v>
      </c>
      <c r="H173" s="1">
        <v>238391</v>
      </c>
      <c r="I173" t="s">
        <v>694</v>
      </c>
      <c r="J173" t="str">
        <f t="shared" si="8"/>
        <v>&lt;img src="https://flagcdn.com/w40/ro.png" alt="Румыния flag"&gt;</v>
      </c>
    </row>
    <row r="174" spans="1:10" x14ac:dyDescent="0.25">
      <c r="A174" t="s">
        <v>1368</v>
      </c>
      <c r="B174" t="str">
        <f t="shared" si="6"/>
        <v>Р</v>
      </c>
      <c r="C174" t="s">
        <v>1554</v>
      </c>
      <c r="D174" t="str">
        <f t="shared" si="7"/>
        <v>М</v>
      </c>
      <c r="E174" t="s">
        <v>451</v>
      </c>
      <c r="F174" t="s">
        <v>346</v>
      </c>
      <c r="G174" t="s">
        <v>1603</v>
      </c>
      <c r="H174" s="1">
        <v>17098242</v>
      </c>
      <c r="I174" t="s">
        <v>694</v>
      </c>
      <c r="J174" t="str">
        <f t="shared" si="8"/>
        <v>&lt;img src="https://flagcdn.com/w40/ru.png" alt="Россия flag"&gt;</v>
      </c>
    </row>
    <row r="175" spans="1:10" x14ac:dyDescent="0.25">
      <c r="A175" t="s">
        <v>1369</v>
      </c>
      <c r="B175" t="str">
        <f t="shared" si="6"/>
        <v>Р</v>
      </c>
      <c r="C175" t="s">
        <v>1555</v>
      </c>
      <c r="D175" t="str">
        <f t="shared" si="7"/>
        <v>К</v>
      </c>
      <c r="E175" t="s">
        <v>451</v>
      </c>
      <c r="F175" t="s">
        <v>348</v>
      </c>
      <c r="G175" t="s">
        <v>1604</v>
      </c>
      <c r="H175" s="1">
        <v>26338</v>
      </c>
      <c r="I175" t="s">
        <v>694</v>
      </c>
      <c r="J175" t="str">
        <f t="shared" si="8"/>
        <v>&lt;img src="https://flagcdn.com/w40/rw.png" alt="Руанда flag"&gt;</v>
      </c>
    </row>
    <row r="176" spans="1:10" x14ac:dyDescent="0.25">
      <c r="A176" t="s">
        <v>1613</v>
      </c>
      <c r="B176" t="str">
        <f t="shared" si="6"/>
        <v>С</v>
      </c>
      <c r="C176" t="s">
        <v>1556</v>
      </c>
      <c r="D176" t="str">
        <f t="shared" si="7"/>
        <v>Г</v>
      </c>
      <c r="E176" t="s">
        <v>451</v>
      </c>
      <c r="F176" t="s">
        <v>47</v>
      </c>
      <c r="G176" t="s">
        <v>1606</v>
      </c>
      <c r="H176" s="1">
        <v>21</v>
      </c>
      <c r="I176" t="s">
        <v>695</v>
      </c>
      <c r="J176" t="str">
        <f t="shared" si="8"/>
        <v>&lt;img src="https://flagcdn.com/w40/bl.png" alt="Сен Бартелеми flag"&gt;</v>
      </c>
    </row>
    <row r="177" spans="1:10" x14ac:dyDescent="0.25">
      <c r="A177" t="s">
        <v>1370</v>
      </c>
      <c r="B177" t="str">
        <f t="shared" si="6"/>
        <v>О</v>
      </c>
      <c r="C177" t="s">
        <v>1557</v>
      </c>
      <c r="D177" t="str">
        <f t="shared" si="7"/>
        <v>Д</v>
      </c>
      <c r="E177" t="s">
        <v>451</v>
      </c>
      <c r="F177" t="s">
        <v>362</v>
      </c>
      <c r="G177" t="s">
        <v>1604</v>
      </c>
      <c r="H177" s="1">
        <v>122</v>
      </c>
      <c r="I177" t="s">
        <v>695</v>
      </c>
      <c r="J177" t="str">
        <f t="shared" si="8"/>
        <v>&lt;img src="https://flagcdn.com/w40/sh.png" alt="Остров Святой Елены flag"&gt;</v>
      </c>
    </row>
    <row r="178" spans="1:10" x14ac:dyDescent="0.25">
      <c r="A178" t="s">
        <v>1614</v>
      </c>
      <c r="B178" t="str">
        <f t="shared" si="6"/>
        <v>С</v>
      </c>
      <c r="C178" t="s">
        <v>1558</v>
      </c>
      <c r="D178" t="str">
        <f t="shared" si="7"/>
        <v>Б</v>
      </c>
      <c r="E178" t="s">
        <v>451</v>
      </c>
      <c r="F178" t="s">
        <v>219</v>
      </c>
      <c r="G178" t="s">
        <v>1606</v>
      </c>
      <c r="H178" s="1">
        <v>261</v>
      </c>
      <c r="I178" t="s">
        <v>694</v>
      </c>
      <c r="J178" t="str">
        <f t="shared" si="8"/>
        <v>&lt;img src="https://flagcdn.com/w40/kn.png" alt="Сент Китс и Невис flag"&gt;</v>
      </c>
    </row>
    <row r="179" spans="1:10" x14ac:dyDescent="0.25">
      <c r="A179" t="s">
        <v>1641</v>
      </c>
      <c r="B179" t="str">
        <f t="shared" si="6"/>
        <v>С</v>
      </c>
      <c r="C179" t="s">
        <v>1559</v>
      </c>
      <c r="D179" t="str">
        <f t="shared" si="7"/>
        <v>К</v>
      </c>
      <c r="E179" t="s">
        <v>451</v>
      </c>
      <c r="F179" t="s">
        <v>235</v>
      </c>
      <c r="G179" t="s">
        <v>1606</v>
      </c>
      <c r="H179" s="1">
        <v>616</v>
      </c>
      <c r="I179" t="s">
        <v>694</v>
      </c>
      <c r="J179" t="str">
        <f t="shared" si="8"/>
        <v>&lt;img src="https://flagcdn.com/w40/lc.png" alt="Сент Люсия flag"&gt;</v>
      </c>
    </row>
    <row r="180" spans="1:10" x14ac:dyDescent="0.25">
      <c r="A180" t="s">
        <v>1642</v>
      </c>
      <c r="B180" t="str">
        <f t="shared" si="6"/>
        <v>С</v>
      </c>
      <c r="C180" t="s">
        <v>1560</v>
      </c>
      <c r="D180" t="str">
        <f t="shared" si="7"/>
        <v>М</v>
      </c>
      <c r="E180" t="s">
        <v>451</v>
      </c>
      <c r="F180" t="s">
        <v>260</v>
      </c>
      <c r="G180" t="s">
        <v>1606</v>
      </c>
      <c r="H180" s="1">
        <v>54</v>
      </c>
      <c r="I180" t="s">
        <v>695</v>
      </c>
      <c r="J180" t="str">
        <f t="shared" si="8"/>
        <v>&lt;img src="https://flagcdn.com/w40/mf.png" alt="Сен Мартен flag"&gt;</v>
      </c>
    </row>
    <row r="181" spans="1:10" x14ac:dyDescent="0.25">
      <c r="A181" t="s">
        <v>1643</v>
      </c>
      <c r="B181" t="str">
        <f t="shared" si="6"/>
        <v>С</v>
      </c>
      <c r="C181" t="s">
        <v>1561</v>
      </c>
      <c r="D181" t="str">
        <f t="shared" si="7"/>
        <v>К</v>
      </c>
      <c r="E181" t="s">
        <v>451</v>
      </c>
      <c r="F181" t="s">
        <v>428</v>
      </c>
      <c r="G181" t="s">
        <v>1606</v>
      </c>
      <c r="H181" s="1">
        <v>389</v>
      </c>
      <c r="I181" t="s">
        <v>694</v>
      </c>
      <c r="J181" t="str">
        <f t="shared" si="8"/>
        <v>&lt;img src="https://flagcdn.com/w40/vc.png" alt="Сент Винсент и Гренадины flag"&gt;</v>
      </c>
    </row>
    <row r="182" spans="1:10" x14ac:dyDescent="0.25">
      <c r="A182" t="s">
        <v>1371</v>
      </c>
      <c r="B182" t="str">
        <f t="shared" si="6"/>
        <v>С</v>
      </c>
      <c r="C182" t="s">
        <v>1562</v>
      </c>
      <c r="D182" t="str">
        <f t="shared" si="7"/>
        <v>А</v>
      </c>
      <c r="E182" t="s">
        <v>451</v>
      </c>
      <c r="F182" t="s">
        <v>438</v>
      </c>
      <c r="G182" t="s">
        <v>1605</v>
      </c>
      <c r="H182" s="1">
        <v>2831</v>
      </c>
      <c r="I182" t="s">
        <v>694</v>
      </c>
      <c r="J182" t="str">
        <f t="shared" si="8"/>
        <v>&lt;img src="https://flagcdn.com/w40/ws.png" alt="Самоа flag"&gt;</v>
      </c>
    </row>
    <row r="183" spans="1:10" x14ac:dyDescent="0.25">
      <c r="A183" t="s">
        <v>1644</v>
      </c>
      <c r="B183" t="str">
        <f t="shared" si="6"/>
        <v>С</v>
      </c>
      <c r="C183" t="s">
        <v>1644</v>
      </c>
      <c r="D183" t="str">
        <f t="shared" si="7"/>
        <v>С</v>
      </c>
      <c r="E183" t="s">
        <v>451</v>
      </c>
      <c r="F183" t="s">
        <v>370</v>
      </c>
      <c r="G183" t="s">
        <v>1603</v>
      </c>
      <c r="H183" s="1">
        <v>61</v>
      </c>
      <c r="I183" t="s">
        <v>694</v>
      </c>
      <c r="J183" t="str">
        <f t="shared" si="8"/>
        <v>&lt;img src="https://flagcdn.com/w40/sm.png" alt="Сан Марино flag"&gt;</v>
      </c>
    </row>
    <row r="184" spans="1:10" x14ac:dyDescent="0.25">
      <c r="A184" t="s">
        <v>1645</v>
      </c>
      <c r="B184" t="str">
        <f t="shared" si="6"/>
        <v>С</v>
      </c>
      <c r="C184" t="s">
        <v>1646</v>
      </c>
      <c r="D184" t="str">
        <f t="shared" si="7"/>
        <v>С</v>
      </c>
      <c r="E184" t="s">
        <v>451</v>
      </c>
      <c r="F184" t="s">
        <v>380</v>
      </c>
      <c r="G184" t="s">
        <v>1604</v>
      </c>
      <c r="H184" s="1">
        <v>964</v>
      </c>
      <c r="I184" t="s">
        <v>694</v>
      </c>
      <c r="J184" t="str">
        <f t="shared" si="8"/>
        <v>&lt;img src="https://flagcdn.com/w40/st.png" alt="Сан Томе и Принсипи flag"&gt;</v>
      </c>
    </row>
    <row r="185" spans="1:10" x14ac:dyDescent="0.25">
      <c r="A185" t="s">
        <v>1372</v>
      </c>
      <c r="B185" t="str">
        <f t="shared" si="6"/>
        <v>С</v>
      </c>
      <c r="C185" t="s">
        <v>1647</v>
      </c>
      <c r="D185" t="str">
        <f t="shared" si="7"/>
        <v>Э</v>
      </c>
      <c r="E185" t="s">
        <v>451</v>
      </c>
      <c r="F185" t="s">
        <v>350</v>
      </c>
      <c r="G185" t="s">
        <v>1602</v>
      </c>
      <c r="H185" s="1">
        <v>2149690</v>
      </c>
      <c r="I185" t="s">
        <v>694</v>
      </c>
      <c r="J185" t="str">
        <f t="shared" si="8"/>
        <v>&lt;img src="https://flagcdn.com/w40/sa.png" alt="Саудовская Аравия flag"&gt;</v>
      </c>
    </row>
    <row r="186" spans="1:10" x14ac:dyDescent="0.25">
      <c r="A186" t="s">
        <v>1373</v>
      </c>
      <c r="B186" t="str">
        <f t="shared" si="6"/>
        <v>С</v>
      </c>
      <c r="C186" t="s">
        <v>1563</v>
      </c>
      <c r="D186" t="str">
        <f t="shared" si="7"/>
        <v>Д</v>
      </c>
      <c r="E186" t="s">
        <v>451</v>
      </c>
      <c r="F186" t="s">
        <v>372</v>
      </c>
      <c r="G186" t="s">
        <v>1604</v>
      </c>
      <c r="H186" s="1">
        <v>196722</v>
      </c>
      <c r="I186" t="s">
        <v>694</v>
      </c>
      <c r="J186" t="str">
        <f t="shared" si="8"/>
        <v>&lt;img src="https://flagcdn.com/w40/sn.png" alt="Сенегал flag"&gt;</v>
      </c>
    </row>
    <row r="187" spans="1:10" x14ac:dyDescent="0.25">
      <c r="A187" t="s">
        <v>1374</v>
      </c>
      <c r="B187" t="str">
        <f t="shared" si="6"/>
        <v>С</v>
      </c>
      <c r="C187" t="s">
        <v>1564</v>
      </c>
      <c r="D187" t="str">
        <f t="shared" si="7"/>
        <v>Б</v>
      </c>
      <c r="E187" t="s">
        <v>451</v>
      </c>
      <c r="F187" t="s">
        <v>344</v>
      </c>
      <c r="G187" t="s">
        <v>1603</v>
      </c>
      <c r="H187" s="1">
        <v>77474</v>
      </c>
      <c r="I187" t="s">
        <v>694</v>
      </c>
      <c r="J187" t="str">
        <f t="shared" si="8"/>
        <v>&lt;img src="https://flagcdn.com/w40/rs.png" alt="Сербия flag"&gt;</v>
      </c>
    </row>
    <row r="188" spans="1:10" x14ac:dyDescent="0.25">
      <c r="A188" t="s">
        <v>1375</v>
      </c>
      <c r="B188" t="str">
        <f t="shared" si="6"/>
        <v>С</v>
      </c>
      <c r="C188" t="s">
        <v>1565</v>
      </c>
      <c r="D188" t="str">
        <f t="shared" si="7"/>
        <v>В</v>
      </c>
      <c r="E188" t="s">
        <v>451</v>
      </c>
      <c r="F188" t="s">
        <v>354</v>
      </c>
      <c r="G188" t="s">
        <v>1604</v>
      </c>
      <c r="H188" s="1">
        <v>455</v>
      </c>
      <c r="I188" t="s">
        <v>694</v>
      </c>
      <c r="J188" t="str">
        <f t="shared" si="8"/>
        <v>&lt;img src="https://flagcdn.com/w40/sc.png" alt="Сейшельские Острова flag"&gt;</v>
      </c>
    </row>
    <row r="189" spans="1:10" x14ac:dyDescent="0.25">
      <c r="A189" t="s">
        <v>1648</v>
      </c>
      <c r="B189" t="str">
        <f t="shared" si="6"/>
        <v>С</v>
      </c>
      <c r="C189" t="s">
        <v>1566</v>
      </c>
      <c r="D189" t="str">
        <f t="shared" si="7"/>
        <v>Ф</v>
      </c>
      <c r="E189" t="s">
        <v>451</v>
      </c>
      <c r="F189" t="s">
        <v>368</v>
      </c>
      <c r="G189" t="s">
        <v>1604</v>
      </c>
      <c r="H189" s="1">
        <v>71740</v>
      </c>
      <c r="I189" t="s">
        <v>694</v>
      </c>
      <c r="J189" t="str">
        <f t="shared" si="8"/>
        <v>&lt;img src="https://flagcdn.com/w40/sl.png" alt="Сьерра Леоне flag"&gt;</v>
      </c>
    </row>
    <row r="190" spans="1:10" x14ac:dyDescent="0.25">
      <c r="A190" t="s">
        <v>1376</v>
      </c>
      <c r="B190" t="str">
        <f t="shared" si="6"/>
        <v>С</v>
      </c>
      <c r="C190" t="s">
        <v>1376</v>
      </c>
      <c r="D190" t="str">
        <f t="shared" si="7"/>
        <v>С</v>
      </c>
      <c r="E190" t="s">
        <v>451</v>
      </c>
      <c r="F190" t="s">
        <v>360</v>
      </c>
      <c r="G190" t="s">
        <v>1602</v>
      </c>
      <c r="H190" s="1">
        <v>697</v>
      </c>
      <c r="I190" t="s">
        <v>694</v>
      </c>
      <c r="J190" t="str">
        <f t="shared" si="8"/>
        <v>&lt;img src="https://flagcdn.com/w40/sg.png" alt="Сингапур flag"&gt;</v>
      </c>
    </row>
    <row r="191" spans="1:10" x14ac:dyDescent="0.25">
      <c r="A191" t="s">
        <v>1649</v>
      </c>
      <c r="B191" t="str">
        <f t="shared" si="6"/>
        <v>С</v>
      </c>
      <c r="C191" t="s">
        <v>1567</v>
      </c>
      <c r="D191" t="str">
        <f t="shared" si="7"/>
        <v>Ф</v>
      </c>
      <c r="E191" t="s">
        <v>451</v>
      </c>
      <c r="F191" t="s">
        <v>384</v>
      </c>
      <c r="G191" t="s">
        <v>1606</v>
      </c>
      <c r="H191" s="1">
        <v>34</v>
      </c>
      <c r="I191" t="s">
        <v>695</v>
      </c>
      <c r="J191" t="str">
        <f t="shared" si="8"/>
        <v>&lt;img src="https://flagcdn.com/w40/sx.png" alt="Синт Мартен flag"&gt;</v>
      </c>
    </row>
    <row r="192" spans="1:10" x14ac:dyDescent="0.25">
      <c r="A192" t="s">
        <v>1377</v>
      </c>
      <c r="B192" t="str">
        <f t="shared" si="6"/>
        <v>С</v>
      </c>
      <c r="C192" t="s">
        <v>1568</v>
      </c>
      <c r="D192" t="str">
        <f t="shared" si="7"/>
        <v>Б</v>
      </c>
      <c r="E192" t="s">
        <v>451</v>
      </c>
      <c r="F192" t="s">
        <v>366</v>
      </c>
      <c r="G192" t="s">
        <v>1603</v>
      </c>
      <c r="H192" s="1">
        <v>49035</v>
      </c>
      <c r="I192" t="s">
        <v>694</v>
      </c>
      <c r="J192" t="str">
        <f t="shared" si="8"/>
        <v>&lt;img src="https://flagcdn.com/w40/sk.png" alt="Словакия flag"&gt;</v>
      </c>
    </row>
    <row r="193" spans="1:10" x14ac:dyDescent="0.25">
      <c r="A193" t="s">
        <v>1378</v>
      </c>
      <c r="B193" t="str">
        <f t="shared" si="6"/>
        <v>С</v>
      </c>
      <c r="C193" t="s">
        <v>1569</v>
      </c>
      <c r="D193" t="str">
        <f t="shared" si="7"/>
        <v>Л</v>
      </c>
      <c r="E193" t="s">
        <v>451</v>
      </c>
      <c r="F193" t="s">
        <v>364</v>
      </c>
      <c r="G193" t="s">
        <v>1603</v>
      </c>
      <c r="H193" s="1">
        <v>20273</v>
      </c>
      <c r="I193" t="s">
        <v>694</v>
      </c>
      <c r="J193" t="str">
        <f t="shared" si="8"/>
        <v>&lt;img src="https://flagcdn.com/w40/si.png" alt="Словения flag"&gt;</v>
      </c>
    </row>
    <row r="194" spans="1:10" x14ac:dyDescent="0.25">
      <c r="A194" t="s">
        <v>1379</v>
      </c>
      <c r="B194" t="str">
        <f t="shared" si="6"/>
        <v>С</v>
      </c>
      <c r="C194" t="s">
        <v>1570</v>
      </c>
      <c r="D194" t="str">
        <f t="shared" si="7"/>
        <v>Х</v>
      </c>
      <c r="E194" t="s">
        <v>451</v>
      </c>
      <c r="F194" t="s">
        <v>352</v>
      </c>
      <c r="G194" t="s">
        <v>1605</v>
      </c>
      <c r="H194" s="1">
        <v>28896</v>
      </c>
      <c r="I194" t="s">
        <v>694</v>
      </c>
      <c r="J194" t="str">
        <f t="shared" si="8"/>
        <v>&lt;img src="https://flagcdn.com/w40/sb.png" alt="Соломоновы Острова flag"&gt;</v>
      </c>
    </row>
    <row r="195" spans="1:10" x14ac:dyDescent="0.25">
      <c r="A195" t="s">
        <v>1380</v>
      </c>
      <c r="B195" t="str">
        <f t="shared" ref="B195:B233" si="9">LEFT(A195)</f>
        <v>С</v>
      </c>
      <c r="C195" t="s">
        <v>1571</v>
      </c>
      <c r="D195" t="str">
        <f t="shared" ref="D195:D233" si="10">LEFT(C195)</f>
        <v>М</v>
      </c>
      <c r="E195" t="s">
        <v>451</v>
      </c>
      <c r="F195" t="s">
        <v>374</v>
      </c>
      <c r="G195" t="s">
        <v>1604</v>
      </c>
      <c r="H195" s="1">
        <v>637657</v>
      </c>
      <c r="I195" t="s">
        <v>694</v>
      </c>
      <c r="J195" t="str">
        <f t="shared" ref="J195:J233" si="11">"&lt;img src=""https://flagcdn.com/w40/" &amp; LOWER(F195) &amp; ".png"" alt=""" &amp; A195 &amp; " flag""&gt;"</f>
        <v>&lt;img src="https://flagcdn.com/w40/so.png" alt="Сомали flag"&gt;</v>
      </c>
    </row>
    <row r="196" spans="1:10" x14ac:dyDescent="0.25">
      <c r="A196" t="s">
        <v>1381</v>
      </c>
      <c r="B196" t="str">
        <f t="shared" si="9"/>
        <v>Ю</v>
      </c>
      <c r="C196" t="s">
        <v>1572</v>
      </c>
      <c r="D196" t="str">
        <f t="shared" si="10"/>
        <v>П</v>
      </c>
      <c r="E196" t="s">
        <v>451</v>
      </c>
      <c r="F196" t="s">
        <v>442</v>
      </c>
      <c r="G196" t="s">
        <v>1604</v>
      </c>
      <c r="H196" s="1">
        <v>1219090</v>
      </c>
      <c r="I196" t="s">
        <v>694</v>
      </c>
      <c r="J196" t="str">
        <f t="shared" si="11"/>
        <v>&lt;img src="https://flagcdn.com/w40/za.png" alt="Южная Африка flag"&gt;</v>
      </c>
    </row>
    <row r="197" spans="1:10" x14ac:dyDescent="0.25">
      <c r="A197" t="s">
        <v>1382</v>
      </c>
      <c r="B197" t="str">
        <f t="shared" si="9"/>
        <v>Ю</v>
      </c>
      <c r="C197" t="s">
        <v>1573</v>
      </c>
      <c r="D197" t="str">
        <f t="shared" si="10"/>
        <v>Г</v>
      </c>
      <c r="E197" t="s">
        <v>451</v>
      </c>
      <c r="F197" t="s">
        <v>167</v>
      </c>
      <c r="G197" t="s">
        <v>1608</v>
      </c>
      <c r="H197" s="1">
        <v>3903</v>
      </c>
      <c r="I197" t="s">
        <v>695</v>
      </c>
      <c r="J197" t="str">
        <f t="shared" si="11"/>
        <v>&lt;img src="https://flagcdn.com/w40/gs.png" alt="Южная Георгия и Южные Сандвичевы острова flag"&gt;</v>
      </c>
    </row>
    <row r="198" spans="1:10" x14ac:dyDescent="0.25">
      <c r="A198" t="s">
        <v>1383</v>
      </c>
      <c r="B198" t="str">
        <f t="shared" si="9"/>
        <v>Ю</v>
      </c>
      <c r="C198" t="s">
        <v>1574</v>
      </c>
      <c r="D198" t="str">
        <f t="shared" si="10"/>
        <v>С</v>
      </c>
      <c r="E198" t="s">
        <v>451</v>
      </c>
      <c r="F198" t="s">
        <v>223</v>
      </c>
      <c r="G198" t="s">
        <v>1602</v>
      </c>
      <c r="H198" s="1">
        <v>99720</v>
      </c>
      <c r="I198" t="s">
        <v>694</v>
      </c>
      <c r="J198" t="str">
        <f t="shared" si="11"/>
        <v>&lt;img src="https://flagcdn.com/w40/kr.png" alt="Южная Корея flag"&gt;</v>
      </c>
    </row>
    <row r="199" spans="1:10" x14ac:dyDescent="0.25">
      <c r="A199" t="s">
        <v>1384</v>
      </c>
      <c r="B199" t="str">
        <f t="shared" si="9"/>
        <v>Ю</v>
      </c>
      <c r="C199" t="s">
        <v>1575</v>
      </c>
      <c r="D199" t="str">
        <f t="shared" si="10"/>
        <v>Д</v>
      </c>
      <c r="E199" t="s">
        <v>451</v>
      </c>
      <c r="F199" t="s">
        <v>378</v>
      </c>
      <c r="G199" t="s">
        <v>1604</v>
      </c>
      <c r="H199" s="1">
        <v>644329</v>
      </c>
      <c r="I199" t="s">
        <v>694</v>
      </c>
      <c r="J199" t="str">
        <f t="shared" si="11"/>
        <v>&lt;img src="https://flagcdn.com/w40/ss.png" alt="Южный Судан flag"&gt;</v>
      </c>
    </row>
    <row r="200" spans="1:10" x14ac:dyDescent="0.25">
      <c r="A200" t="s">
        <v>1385</v>
      </c>
      <c r="B200" t="str">
        <f t="shared" si="9"/>
        <v>И</v>
      </c>
      <c r="C200" t="s">
        <v>1576</v>
      </c>
      <c r="D200" t="str">
        <f t="shared" si="10"/>
        <v>М</v>
      </c>
      <c r="E200" t="s">
        <v>451</v>
      </c>
      <c r="F200" t="s">
        <v>125</v>
      </c>
      <c r="G200" t="s">
        <v>1603</v>
      </c>
      <c r="H200" s="1">
        <v>505370</v>
      </c>
      <c r="I200" t="s">
        <v>694</v>
      </c>
      <c r="J200" t="str">
        <f t="shared" si="11"/>
        <v>&lt;img src="https://flagcdn.com/w40/es.png" alt="Испания flag"&gt;</v>
      </c>
    </row>
    <row r="201" spans="1:10" x14ac:dyDescent="0.25">
      <c r="A201" t="s">
        <v>1650</v>
      </c>
      <c r="B201" t="str">
        <f t="shared" si="9"/>
        <v>Ш</v>
      </c>
      <c r="C201" t="s">
        <v>1651</v>
      </c>
      <c r="D201" t="str">
        <f t="shared" si="10"/>
        <v>Ш</v>
      </c>
      <c r="E201" t="s">
        <v>451</v>
      </c>
      <c r="F201" t="s">
        <v>239</v>
      </c>
      <c r="G201" t="s">
        <v>1602</v>
      </c>
      <c r="H201" s="1">
        <v>65610</v>
      </c>
      <c r="I201" t="s">
        <v>694</v>
      </c>
      <c r="J201" t="str">
        <f t="shared" si="11"/>
        <v>&lt;img src="https://flagcdn.com/w40/lk.png" alt="Шри Ланка flag"&gt;</v>
      </c>
    </row>
    <row r="202" spans="1:10" x14ac:dyDescent="0.25">
      <c r="A202" t="s">
        <v>1386</v>
      </c>
      <c r="B202" t="str">
        <f t="shared" si="9"/>
        <v>С</v>
      </c>
      <c r="C202" t="s">
        <v>1577</v>
      </c>
      <c r="D202" t="str">
        <f t="shared" si="10"/>
        <v>Х</v>
      </c>
      <c r="E202" t="s">
        <v>451</v>
      </c>
      <c r="F202" t="s">
        <v>356</v>
      </c>
      <c r="G202" t="s">
        <v>1604</v>
      </c>
      <c r="H202" s="1">
        <v>1861484</v>
      </c>
      <c r="I202" t="s">
        <v>694</v>
      </c>
      <c r="J202" t="str">
        <f t="shared" si="11"/>
        <v>&lt;img src="https://flagcdn.com/w40/sd.png" alt="Судан flag"&gt;</v>
      </c>
    </row>
    <row r="203" spans="1:10" x14ac:dyDescent="0.25">
      <c r="A203" t="s">
        <v>1387</v>
      </c>
      <c r="B203" t="str">
        <f t="shared" si="9"/>
        <v>С</v>
      </c>
      <c r="C203" t="s">
        <v>1578</v>
      </c>
      <c r="D203" t="str">
        <f t="shared" si="10"/>
        <v>П</v>
      </c>
      <c r="E203" t="s">
        <v>451</v>
      </c>
      <c r="F203" t="s">
        <v>376</v>
      </c>
      <c r="G203" t="s">
        <v>1607</v>
      </c>
      <c r="H203" s="1">
        <v>163820</v>
      </c>
      <c r="I203" t="s">
        <v>694</v>
      </c>
      <c r="J203" t="str">
        <f t="shared" si="11"/>
        <v>&lt;img src="https://flagcdn.com/w40/sr.png" alt="Суринам flag"&gt;</v>
      </c>
    </row>
    <row r="204" spans="1:10" x14ac:dyDescent="0.25">
      <c r="A204" t="s">
        <v>1388</v>
      </c>
      <c r="B204" t="str">
        <f t="shared" si="9"/>
        <v>Э</v>
      </c>
      <c r="C204" t="s">
        <v>1579</v>
      </c>
      <c r="D204" t="str">
        <f t="shared" si="10"/>
        <v>М</v>
      </c>
      <c r="E204" t="s">
        <v>451</v>
      </c>
      <c r="F204" t="s">
        <v>388</v>
      </c>
      <c r="G204" t="s">
        <v>1604</v>
      </c>
      <c r="H204" s="1">
        <v>17364</v>
      </c>
      <c r="I204" t="s">
        <v>694</v>
      </c>
      <c r="J204" t="str">
        <f t="shared" si="11"/>
        <v>&lt;img src="https://flagcdn.com/w40/sz.png" alt="Эсватини flag"&gt;</v>
      </c>
    </row>
    <row r="205" spans="1:10" x14ac:dyDescent="0.25">
      <c r="A205" t="s">
        <v>1389</v>
      </c>
      <c r="B205" t="str">
        <f t="shared" si="9"/>
        <v>Ш</v>
      </c>
      <c r="C205" t="s">
        <v>1580</v>
      </c>
      <c r="D205" t="str">
        <f t="shared" si="10"/>
        <v>С</v>
      </c>
      <c r="E205" t="s">
        <v>451</v>
      </c>
      <c r="F205" t="s">
        <v>358</v>
      </c>
      <c r="G205" t="s">
        <v>1603</v>
      </c>
      <c r="H205" s="1">
        <v>450295</v>
      </c>
      <c r="I205" t="s">
        <v>694</v>
      </c>
      <c r="J205" t="str">
        <f t="shared" si="11"/>
        <v>&lt;img src="https://flagcdn.com/w40/se.png" alt="Швеция flag"&gt;</v>
      </c>
    </row>
    <row r="206" spans="1:10" x14ac:dyDescent="0.25">
      <c r="A206" t="s">
        <v>1390</v>
      </c>
      <c r="B206" t="str">
        <f t="shared" si="9"/>
        <v>Ш</v>
      </c>
      <c r="C206" t="s">
        <v>1581</v>
      </c>
      <c r="D206" t="str">
        <f t="shared" si="10"/>
        <v>Б</v>
      </c>
      <c r="E206" t="s">
        <v>451</v>
      </c>
      <c r="F206" t="s">
        <v>77</v>
      </c>
      <c r="G206" t="s">
        <v>1603</v>
      </c>
      <c r="H206" s="1">
        <v>41277</v>
      </c>
      <c r="I206" t="s">
        <v>694</v>
      </c>
      <c r="J206" t="str">
        <f t="shared" si="11"/>
        <v>&lt;img src="https://flagcdn.com/w40/ch.png" alt="Швейцария flag"&gt;</v>
      </c>
    </row>
    <row r="207" spans="1:10" x14ac:dyDescent="0.25">
      <c r="A207" t="s">
        <v>1391</v>
      </c>
      <c r="B207" t="str">
        <f t="shared" si="9"/>
        <v>С</v>
      </c>
      <c r="C207" t="s">
        <v>1582</v>
      </c>
      <c r="D207" t="str">
        <f t="shared" si="10"/>
        <v>Д</v>
      </c>
      <c r="E207" t="s">
        <v>451</v>
      </c>
      <c r="F207" t="s">
        <v>386</v>
      </c>
      <c r="G207" t="s">
        <v>1602</v>
      </c>
      <c r="H207" s="1">
        <v>185180</v>
      </c>
      <c r="I207" t="s">
        <v>694</v>
      </c>
      <c r="J207" t="str">
        <f t="shared" si="11"/>
        <v>&lt;img src="https://flagcdn.com/w40/sy.png" alt="Сирия flag"&gt;</v>
      </c>
    </row>
    <row r="208" spans="1:10" x14ac:dyDescent="0.25">
      <c r="A208" t="s">
        <v>1392</v>
      </c>
      <c r="B208" t="str">
        <f t="shared" si="9"/>
        <v>Т</v>
      </c>
      <c r="C208" t="s">
        <v>1583</v>
      </c>
      <c r="D208" t="str">
        <f t="shared" si="10"/>
        <v>Д</v>
      </c>
      <c r="E208" t="s">
        <v>451</v>
      </c>
      <c r="F208" t="s">
        <v>397</v>
      </c>
      <c r="G208" t="s">
        <v>1602</v>
      </c>
      <c r="H208" s="1">
        <v>143100</v>
      </c>
      <c r="I208" t="s">
        <v>694</v>
      </c>
      <c r="J208" t="str">
        <f t="shared" si="11"/>
        <v>&lt;img src="https://flagcdn.com/w40/tj.png" alt="Таджикистан flag"&gt;</v>
      </c>
    </row>
    <row r="209" spans="1:10" x14ac:dyDescent="0.25">
      <c r="A209" t="s">
        <v>1393</v>
      </c>
      <c r="B209" t="str">
        <f t="shared" si="9"/>
        <v>Т</v>
      </c>
      <c r="C209" t="s">
        <v>1584</v>
      </c>
      <c r="D209" t="str">
        <f t="shared" si="10"/>
        <v>Д</v>
      </c>
      <c r="E209" t="s">
        <v>451</v>
      </c>
      <c r="F209" t="s">
        <v>415</v>
      </c>
      <c r="G209" t="s">
        <v>1604</v>
      </c>
      <c r="H209" s="1">
        <v>947300</v>
      </c>
      <c r="I209" t="s">
        <v>694</v>
      </c>
      <c r="J209" t="str">
        <f t="shared" si="11"/>
        <v>&lt;img src="https://flagcdn.com/w40/tz.png" alt="Танзания flag"&gt;</v>
      </c>
    </row>
    <row r="210" spans="1:10" x14ac:dyDescent="0.25">
      <c r="A210" t="s">
        <v>1394</v>
      </c>
      <c r="B210" t="str">
        <f t="shared" si="9"/>
        <v>Т</v>
      </c>
      <c r="C210" t="s">
        <v>1585</v>
      </c>
      <c r="D210" t="str">
        <f t="shared" si="10"/>
        <v>Б</v>
      </c>
      <c r="E210" t="s">
        <v>451</v>
      </c>
      <c r="F210" t="s">
        <v>395</v>
      </c>
      <c r="G210" t="s">
        <v>1602</v>
      </c>
      <c r="H210" s="1">
        <v>513120</v>
      </c>
      <c r="I210" t="s">
        <v>694</v>
      </c>
      <c r="J210" t="str">
        <f t="shared" si="11"/>
        <v>&lt;img src="https://flagcdn.com/w40/th.png" alt="Таиланд flag"&gt;</v>
      </c>
    </row>
    <row r="211" spans="1:10" x14ac:dyDescent="0.25">
      <c r="A211" t="s">
        <v>1395</v>
      </c>
      <c r="B211" t="str">
        <f t="shared" si="9"/>
        <v>Т</v>
      </c>
      <c r="C211" t="s">
        <v>1586</v>
      </c>
      <c r="D211" t="str">
        <f t="shared" si="10"/>
        <v>Л</v>
      </c>
      <c r="E211" t="s">
        <v>451</v>
      </c>
      <c r="F211" t="s">
        <v>393</v>
      </c>
      <c r="G211" t="s">
        <v>1604</v>
      </c>
      <c r="H211" s="1">
        <v>56785</v>
      </c>
      <c r="I211" t="s">
        <v>694</v>
      </c>
      <c r="J211" t="str">
        <f t="shared" si="11"/>
        <v>&lt;img src="https://flagcdn.com/w40/tg.png" alt="Того flag"&gt;</v>
      </c>
    </row>
    <row r="212" spans="1:10" x14ac:dyDescent="0.25">
      <c r="A212" t="s">
        <v>1396</v>
      </c>
      <c r="B212" t="str">
        <f t="shared" si="9"/>
        <v>Т</v>
      </c>
      <c r="C212" t="s">
        <v>1587</v>
      </c>
      <c r="D212" t="str">
        <f t="shared" si="10"/>
        <v>Н</v>
      </c>
      <c r="E212" t="s">
        <v>451</v>
      </c>
      <c r="F212" t="s">
        <v>405</v>
      </c>
      <c r="G212" t="s">
        <v>1605</v>
      </c>
      <c r="H212" s="1">
        <v>747</v>
      </c>
      <c r="I212" t="s">
        <v>694</v>
      </c>
      <c r="J212" t="str">
        <f t="shared" si="11"/>
        <v>&lt;img src="https://flagcdn.com/w40/to.png" alt="Тонга flag"&gt;</v>
      </c>
    </row>
    <row r="213" spans="1:10" x14ac:dyDescent="0.25">
      <c r="A213" t="s">
        <v>1397</v>
      </c>
      <c r="B213" t="str">
        <f t="shared" si="9"/>
        <v>Т</v>
      </c>
      <c r="C213" t="s">
        <v>1652</v>
      </c>
      <c r="D213" t="str">
        <f t="shared" si="10"/>
        <v>П</v>
      </c>
      <c r="E213" t="s">
        <v>451</v>
      </c>
      <c r="F213" t="s">
        <v>409</v>
      </c>
      <c r="G213" t="s">
        <v>1606</v>
      </c>
      <c r="H213" s="1">
        <v>5128</v>
      </c>
      <c r="I213" t="s">
        <v>694</v>
      </c>
      <c r="J213" t="str">
        <f t="shared" si="11"/>
        <v>&lt;img src="https://flagcdn.com/w40/tt.png" alt="Тринидад и Тобаго flag"&gt;</v>
      </c>
    </row>
    <row r="214" spans="1:10" x14ac:dyDescent="0.25">
      <c r="A214" t="s">
        <v>1398</v>
      </c>
      <c r="B214" t="str">
        <f t="shared" si="9"/>
        <v>Т</v>
      </c>
      <c r="C214" t="s">
        <v>1398</v>
      </c>
      <c r="D214" t="str">
        <f t="shared" si="10"/>
        <v>Т</v>
      </c>
      <c r="E214" t="s">
        <v>451</v>
      </c>
      <c r="F214" t="s">
        <v>403</v>
      </c>
      <c r="G214" t="s">
        <v>1604</v>
      </c>
      <c r="H214" s="1">
        <v>163610</v>
      </c>
      <c r="I214" t="s">
        <v>694</v>
      </c>
      <c r="J214" t="str">
        <f t="shared" si="11"/>
        <v>&lt;img src="https://flagcdn.com/w40/tn.png" alt="Тунис flag"&gt;</v>
      </c>
    </row>
    <row r="215" spans="1:10" x14ac:dyDescent="0.25">
      <c r="A215" t="s">
        <v>1399</v>
      </c>
      <c r="B215" t="str">
        <f t="shared" si="9"/>
        <v>Т</v>
      </c>
      <c r="C215" t="s">
        <v>1588</v>
      </c>
      <c r="D215" t="str">
        <f t="shared" si="10"/>
        <v>А</v>
      </c>
      <c r="E215" t="s">
        <v>451</v>
      </c>
      <c r="F215" t="s">
        <v>407</v>
      </c>
      <c r="G215" t="s">
        <v>1603</v>
      </c>
      <c r="H215" s="1">
        <v>783562</v>
      </c>
      <c r="I215" t="s">
        <v>694</v>
      </c>
      <c r="J215" t="str">
        <f t="shared" si="11"/>
        <v>&lt;img src="https://flagcdn.com/w40/tr.png" alt="Турция flag"&gt;</v>
      </c>
    </row>
    <row r="216" spans="1:10" x14ac:dyDescent="0.25">
      <c r="A216" t="s">
        <v>1400</v>
      </c>
      <c r="B216" t="str">
        <f t="shared" si="9"/>
        <v>Т</v>
      </c>
      <c r="C216" t="s">
        <v>1589</v>
      </c>
      <c r="D216" t="str">
        <f t="shared" si="10"/>
        <v>А</v>
      </c>
      <c r="E216" t="s">
        <v>451</v>
      </c>
      <c r="F216" t="s">
        <v>401</v>
      </c>
      <c r="G216" t="s">
        <v>1602</v>
      </c>
      <c r="H216" s="1">
        <v>488100</v>
      </c>
      <c r="I216" t="s">
        <v>694</v>
      </c>
      <c r="J216" t="str">
        <f t="shared" si="11"/>
        <v>&lt;img src="https://flagcdn.com/w40/tm.png" alt="Туркменистан flag"&gt;</v>
      </c>
    </row>
    <row r="217" spans="1:10" x14ac:dyDescent="0.25">
      <c r="A217" t="s">
        <v>1401</v>
      </c>
      <c r="B217" t="str">
        <f t="shared" si="9"/>
        <v>О</v>
      </c>
      <c r="C217" t="s">
        <v>1653</v>
      </c>
      <c r="D217" t="str">
        <f t="shared" si="10"/>
        <v>К</v>
      </c>
      <c r="E217" t="s">
        <v>451</v>
      </c>
      <c r="F217" t="s">
        <v>390</v>
      </c>
      <c r="G217" t="s">
        <v>1606</v>
      </c>
      <c r="H217" s="1">
        <v>948</v>
      </c>
      <c r="I217" t="s">
        <v>695</v>
      </c>
      <c r="J217" t="str">
        <f t="shared" si="11"/>
        <v>&lt;img src="https://flagcdn.com/w40/tc.png" alt="Острова Тёркс и Кайкос flag"&gt;</v>
      </c>
    </row>
    <row r="218" spans="1:10" x14ac:dyDescent="0.25">
      <c r="A218" t="s">
        <v>1402</v>
      </c>
      <c r="B218" t="str">
        <f t="shared" si="9"/>
        <v>Т</v>
      </c>
      <c r="C218" t="s">
        <v>1590</v>
      </c>
      <c r="D218" t="str">
        <f t="shared" si="10"/>
        <v>Ф</v>
      </c>
      <c r="E218" t="s">
        <v>451</v>
      </c>
      <c r="F218" t="s">
        <v>411</v>
      </c>
      <c r="G218" t="s">
        <v>1605</v>
      </c>
      <c r="H218" s="1">
        <v>26</v>
      </c>
      <c r="I218" t="s">
        <v>694</v>
      </c>
      <c r="J218" t="str">
        <f t="shared" si="11"/>
        <v>&lt;img src="https://flagcdn.com/w40/tv.png" alt="Тувалу flag"&gt;</v>
      </c>
    </row>
    <row r="219" spans="1:10" x14ac:dyDescent="0.25">
      <c r="A219" t="s">
        <v>1403</v>
      </c>
      <c r="B219" t="str">
        <f t="shared" si="9"/>
        <v>У</v>
      </c>
      <c r="C219" t="s">
        <v>1591</v>
      </c>
      <c r="D219" t="str">
        <f t="shared" si="10"/>
        <v>К</v>
      </c>
      <c r="E219" t="s">
        <v>451</v>
      </c>
      <c r="F219" t="s">
        <v>419</v>
      </c>
      <c r="G219" t="s">
        <v>1604</v>
      </c>
      <c r="H219" s="1">
        <v>241038</v>
      </c>
      <c r="I219" t="s">
        <v>694</v>
      </c>
      <c r="J219" t="str">
        <f t="shared" si="11"/>
        <v>&lt;img src="https://flagcdn.com/w40/ug.png" alt="Уганда flag"&gt;</v>
      </c>
    </row>
    <row r="220" spans="1:10" x14ac:dyDescent="0.25">
      <c r="A220" t="s">
        <v>1404</v>
      </c>
      <c r="B220" t="str">
        <f t="shared" si="9"/>
        <v>У</v>
      </c>
      <c r="C220" t="s">
        <v>1592</v>
      </c>
      <c r="D220" t="str">
        <f t="shared" si="10"/>
        <v>К</v>
      </c>
      <c r="E220" t="s">
        <v>451</v>
      </c>
      <c r="F220" t="s">
        <v>417</v>
      </c>
      <c r="G220" t="s">
        <v>1603</v>
      </c>
      <c r="H220" s="1">
        <v>603550</v>
      </c>
      <c r="I220" t="s">
        <v>694</v>
      </c>
      <c r="J220" t="str">
        <f t="shared" si="11"/>
        <v>&lt;img src="https://flagcdn.com/w40/ua.png" alt="Украина flag"&gt;</v>
      </c>
    </row>
    <row r="221" spans="1:10" x14ac:dyDescent="0.25">
      <c r="A221" t="s">
        <v>1405</v>
      </c>
      <c r="B221" t="str">
        <f t="shared" si="9"/>
        <v>О</v>
      </c>
      <c r="C221" t="s">
        <v>1654</v>
      </c>
      <c r="D221" t="str">
        <f t="shared" si="10"/>
        <v>А</v>
      </c>
      <c r="E221" t="s">
        <v>451</v>
      </c>
      <c r="F221" t="s">
        <v>5</v>
      </c>
      <c r="G221" t="s">
        <v>1602</v>
      </c>
      <c r="H221" s="1">
        <v>83600</v>
      </c>
      <c r="I221" t="s">
        <v>694</v>
      </c>
      <c r="J221" t="str">
        <f t="shared" si="11"/>
        <v>&lt;img src="https://flagcdn.com/w40/ae.png" alt="Объединённые Арабские Эмираты flag"&gt;</v>
      </c>
    </row>
    <row r="222" spans="1:10" x14ac:dyDescent="0.25">
      <c r="A222" t="s">
        <v>1406</v>
      </c>
      <c r="B222" t="str">
        <f t="shared" si="9"/>
        <v>В</v>
      </c>
      <c r="C222" t="s">
        <v>1593</v>
      </c>
      <c r="D222" t="str">
        <f t="shared" si="10"/>
        <v>Л</v>
      </c>
      <c r="E222" t="s">
        <v>451</v>
      </c>
      <c r="F222" t="s">
        <v>143</v>
      </c>
      <c r="G222" t="s">
        <v>1603</v>
      </c>
      <c r="H222" s="1">
        <v>243610</v>
      </c>
      <c r="I222" t="s">
        <v>694</v>
      </c>
      <c r="J222" t="str">
        <f t="shared" si="11"/>
        <v>&lt;img src="https://flagcdn.com/w40/gb.png" alt="Великобритания flag"&gt;</v>
      </c>
    </row>
    <row r="223" spans="1:10" x14ac:dyDescent="0.25">
      <c r="A223" t="s">
        <v>1407</v>
      </c>
      <c r="B223" t="str">
        <f t="shared" si="9"/>
        <v>С</v>
      </c>
      <c r="C223" t="s">
        <v>1594</v>
      </c>
      <c r="D223" t="str">
        <f t="shared" si="10"/>
        <v>В</v>
      </c>
      <c r="E223" t="s">
        <v>451</v>
      </c>
      <c r="F223" t="s">
        <v>421</v>
      </c>
      <c r="G223" t="s">
        <v>1606</v>
      </c>
      <c r="H223" s="1">
        <v>9826675</v>
      </c>
      <c r="I223" t="s">
        <v>694</v>
      </c>
      <c r="J223" t="str">
        <f t="shared" si="11"/>
        <v>&lt;img src="https://flagcdn.com/w40/us.png" alt="Соединённые Штаты flag"&gt;</v>
      </c>
    </row>
    <row r="224" spans="1:10" x14ac:dyDescent="0.25">
      <c r="A224" t="s">
        <v>1408</v>
      </c>
      <c r="B224" t="str">
        <f t="shared" si="9"/>
        <v>В</v>
      </c>
      <c r="C224" t="s">
        <v>1655</v>
      </c>
      <c r="D224" t="str">
        <f t="shared" si="10"/>
        <v>Ш</v>
      </c>
      <c r="E224" t="s">
        <v>451</v>
      </c>
      <c r="F224" t="s">
        <v>434</v>
      </c>
      <c r="G224" t="s">
        <v>1606</v>
      </c>
      <c r="H224" s="1">
        <v>1910</v>
      </c>
      <c r="I224" t="s">
        <v>695</v>
      </c>
      <c r="J224" t="str">
        <f t="shared" si="11"/>
        <v>&lt;img src="https://flagcdn.com/w40/vi.png" alt="Виргинские острова США flag"&gt;</v>
      </c>
    </row>
    <row r="225" spans="1:10" x14ac:dyDescent="0.25">
      <c r="A225" t="s">
        <v>1409</v>
      </c>
      <c r="B225" t="str">
        <f t="shared" si="9"/>
        <v>У</v>
      </c>
      <c r="C225" t="s">
        <v>1595</v>
      </c>
      <c r="D225" t="str">
        <f t="shared" si="10"/>
        <v>М</v>
      </c>
      <c r="E225" t="s">
        <v>451</v>
      </c>
      <c r="F225" t="s">
        <v>422</v>
      </c>
      <c r="G225" t="s">
        <v>1607</v>
      </c>
      <c r="H225" s="1">
        <v>176215</v>
      </c>
      <c r="I225" t="s">
        <v>694</v>
      </c>
      <c r="J225" t="str">
        <f t="shared" si="11"/>
        <v>&lt;img src="https://flagcdn.com/w40/uy.png" alt="Уругвай flag"&gt;</v>
      </c>
    </row>
    <row r="226" spans="1:10" x14ac:dyDescent="0.25">
      <c r="A226" t="s">
        <v>1410</v>
      </c>
      <c r="B226" t="str">
        <f t="shared" si="9"/>
        <v>У</v>
      </c>
      <c r="C226" t="s">
        <v>1596</v>
      </c>
      <c r="D226" t="str">
        <f t="shared" si="10"/>
        <v>Т</v>
      </c>
      <c r="E226" t="s">
        <v>451</v>
      </c>
      <c r="F226" t="s">
        <v>424</v>
      </c>
      <c r="G226" t="s">
        <v>1602</v>
      </c>
      <c r="H226" s="1">
        <v>447400</v>
      </c>
      <c r="I226" t="s">
        <v>694</v>
      </c>
      <c r="J226" t="str">
        <f t="shared" si="11"/>
        <v>&lt;img src="https://flagcdn.com/w40/uz.png" alt="Узбекистан flag"&gt;</v>
      </c>
    </row>
    <row r="227" spans="1:10" x14ac:dyDescent="0.25">
      <c r="A227" t="s">
        <v>1411</v>
      </c>
      <c r="B227" t="str">
        <f t="shared" si="9"/>
        <v>В</v>
      </c>
      <c r="C227" t="s">
        <v>1656</v>
      </c>
      <c r="D227" t="str">
        <f t="shared" si="10"/>
        <v>П</v>
      </c>
      <c r="E227" t="s">
        <v>451</v>
      </c>
      <c r="F227" t="s">
        <v>437</v>
      </c>
      <c r="G227" t="s">
        <v>1605</v>
      </c>
      <c r="H227" s="1">
        <v>12189</v>
      </c>
      <c r="I227" t="s">
        <v>694</v>
      </c>
      <c r="J227" t="str">
        <f t="shared" si="11"/>
        <v>&lt;img src="https://flagcdn.com/w40/vu.png" alt="Вануату flag"&gt;</v>
      </c>
    </row>
    <row r="228" spans="1:10" x14ac:dyDescent="0.25">
      <c r="A228" t="s">
        <v>1412</v>
      </c>
      <c r="B228" t="str">
        <f t="shared" si="9"/>
        <v>В</v>
      </c>
      <c r="C228" t="s">
        <v>1412</v>
      </c>
      <c r="D228" t="str">
        <f t="shared" si="10"/>
        <v>В</v>
      </c>
      <c r="E228" t="s">
        <v>451</v>
      </c>
      <c r="F228" t="s">
        <v>426</v>
      </c>
      <c r="G228" t="s">
        <v>1603</v>
      </c>
      <c r="H228" s="1">
        <v>0.44</v>
      </c>
      <c r="I228" t="s">
        <v>694</v>
      </c>
      <c r="J228" t="str">
        <f t="shared" si="11"/>
        <v>&lt;img src="https://flagcdn.com/w40/va.png" alt="Ватикан flag"&gt;</v>
      </c>
    </row>
    <row r="229" spans="1:10" x14ac:dyDescent="0.25">
      <c r="A229" t="s">
        <v>1413</v>
      </c>
      <c r="B229" t="str">
        <f t="shared" si="9"/>
        <v>В</v>
      </c>
      <c r="C229" t="s">
        <v>1597</v>
      </c>
      <c r="D229" t="str">
        <f t="shared" si="10"/>
        <v>К</v>
      </c>
      <c r="E229" t="s">
        <v>451</v>
      </c>
      <c r="F229" t="s">
        <v>430</v>
      </c>
      <c r="G229" t="s">
        <v>1607</v>
      </c>
      <c r="H229" s="1">
        <v>912050</v>
      </c>
      <c r="I229" t="s">
        <v>694</v>
      </c>
      <c r="J229" t="str">
        <f t="shared" si="11"/>
        <v>&lt;img src="https://flagcdn.com/w40/ve.png" alt="Венесуэла flag"&gt;</v>
      </c>
    </row>
    <row r="230" spans="1:10" x14ac:dyDescent="0.25">
      <c r="A230" t="s">
        <v>1414</v>
      </c>
      <c r="B230" t="str">
        <f t="shared" si="9"/>
        <v>В</v>
      </c>
      <c r="C230" t="s">
        <v>1598</v>
      </c>
      <c r="D230" t="str">
        <f t="shared" si="10"/>
        <v>Х</v>
      </c>
      <c r="E230" t="s">
        <v>451</v>
      </c>
      <c r="F230" t="s">
        <v>436</v>
      </c>
      <c r="G230" t="s">
        <v>1602</v>
      </c>
      <c r="H230" s="1">
        <v>331210</v>
      </c>
      <c r="I230" t="s">
        <v>694</v>
      </c>
      <c r="J230" t="str">
        <f t="shared" si="11"/>
        <v>&lt;img src="https://flagcdn.com/w40/vn.png" alt="Вьетнам flag"&gt;</v>
      </c>
    </row>
    <row r="231" spans="1:10" x14ac:dyDescent="0.25">
      <c r="A231" t="s">
        <v>1415</v>
      </c>
      <c r="B231" t="str">
        <f t="shared" si="9"/>
        <v>Й</v>
      </c>
      <c r="C231" t="s">
        <v>1599</v>
      </c>
      <c r="D231" t="str">
        <f t="shared" si="10"/>
        <v>С</v>
      </c>
      <c r="E231" t="s">
        <v>451</v>
      </c>
      <c r="F231" t="s">
        <v>440</v>
      </c>
      <c r="G231" t="s">
        <v>1602</v>
      </c>
      <c r="H231" s="1">
        <v>527968</v>
      </c>
      <c r="I231" t="s">
        <v>694</v>
      </c>
      <c r="J231" t="str">
        <f t="shared" si="11"/>
        <v>&lt;img src="https://flagcdn.com/w40/ye.png" alt="Йемен flag"&gt;</v>
      </c>
    </row>
    <row r="232" spans="1:10" x14ac:dyDescent="0.25">
      <c r="A232" t="s">
        <v>1416</v>
      </c>
      <c r="B232" t="str">
        <f t="shared" si="9"/>
        <v>З</v>
      </c>
      <c r="C232" t="s">
        <v>1600</v>
      </c>
      <c r="D232" t="str">
        <f t="shared" si="10"/>
        <v>Л</v>
      </c>
      <c r="E232" t="s">
        <v>451</v>
      </c>
      <c r="F232" t="s">
        <v>443</v>
      </c>
      <c r="G232" t="s">
        <v>1604</v>
      </c>
      <c r="H232" s="1">
        <v>752618</v>
      </c>
      <c r="I232" t="s">
        <v>694</v>
      </c>
      <c r="J232" t="str">
        <f t="shared" si="11"/>
        <v>&lt;img src="https://flagcdn.com/w40/zm.png" alt="Замбия flag"&gt;</v>
      </c>
    </row>
    <row r="233" spans="1:10" x14ac:dyDescent="0.25">
      <c r="A233" t="s">
        <v>1417</v>
      </c>
      <c r="B233" t="str">
        <f t="shared" si="9"/>
        <v>З</v>
      </c>
      <c r="C233" t="s">
        <v>1601</v>
      </c>
      <c r="D233" t="str">
        <f t="shared" si="10"/>
        <v>Х</v>
      </c>
      <c r="E233" t="s">
        <v>451</v>
      </c>
      <c r="F233" t="s">
        <v>445</v>
      </c>
      <c r="G233" t="s">
        <v>1604</v>
      </c>
      <c r="H233" s="1">
        <v>390757</v>
      </c>
      <c r="I233" t="s">
        <v>694</v>
      </c>
      <c r="J233" t="str">
        <f t="shared" si="11"/>
        <v>&lt;img src="https://flagcdn.com/w40/zw.png" alt="Зимбабве flag"&gt;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43A8-C89B-41F0-9450-FC5A1AF42EE5}">
  <dimension ref="A1:F263"/>
  <sheetViews>
    <sheetView workbookViewId="0">
      <selection sqref="A1:A1048576"/>
    </sheetView>
  </sheetViews>
  <sheetFormatPr defaultRowHeight="15" x14ac:dyDescent="0.25"/>
  <cols>
    <col min="1" max="1" width="15.7109375" bestFit="1" customWidth="1"/>
    <col min="2" max="2" width="14.85546875" bestFit="1" customWidth="1"/>
    <col min="3" max="3" width="47.42578125" bestFit="1" customWidth="1"/>
    <col min="4" max="4" width="23.42578125" bestFit="1" customWidth="1"/>
    <col min="5" max="5" width="24.7109375" bestFit="1" customWidth="1"/>
    <col min="6" max="6" width="15.85546875" bestFit="1" customWidth="1"/>
  </cols>
  <sheetData>
    <row r="1" spans="1:6" x14ac:dyDescent="0.25">
      <c r="A1" t="s">
        <v>711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</row>
    <row r="2" spans="1:6" x14ac:dyDescent="0.25">
      <c r="A2" t="s">
        <v>717</v>
      </c>
      <c r="B2" t="s">
        <v>21</v>
      </c>
      <c r="C2" t="s">
        <v>718</v>
      </c>
      <c r="D2" t="s">
        <v>7</v>
      </c>
      <c r="E2" t="s">
        <v>719</v>
      </c>
      <c r="F2">
        <v>4</v>
      </c>
    </row>
    <row r="3" spans="1:6" x14ac:dyDescent="0.25">
      <c r="A3" t="s">
        <v>720</v>
      </c>
      <c r="B3" t="s">
        <v>721</v>
      </c>
      <c r="C3" t="s">
        <v>722</v>
      </c>
      <c r="D3" t="s">
        <v>13</v>
      </c>
      <c r="E3" t="s">
        <v>723</v>
      </c>
      <c r="F3">
        <v>8</v>
      </c>
    </row>
    <row r="4" spans="1:6" x14ac:dyDescent="0.25">
      <c r="A4" t="s">
        <v>724</v>
      </c>
      <c r="B4" t="s">
        <v>725</v>
      </c>
      <c r="C4" t="s">
        <v>726</v>
      </c>
      <c r="D4" t="s">
        <v>727</v>
      </c>
      <c r="E4" t="s">
        <v>728</v>
      </c>
      <c r="F4">
        <v>10</v>
      </c>
    </row>
    <row r="5" spans="1:6" x14ac:dyDescent="0.25">
      <c r="A5" t="s">
        <v>729</v>
      </c>
      <c r="B5" t="s">
        <v>7</v>
      </c>
      <c r="C5" t="s">
        <v>730</v>
      </c>
      <c r="D5" t="s">
        <v>115</v>
      </c>
      <c r="E5" t="s">
        <v>731</v>
      </c>
      <c r="F5">
        <v>12</v>
      </c>
    </row>
    <row r="6" spans="1:6" x14ac:dyDescent="0.25">
      <c r="A6" t="s">
        <v>732</v>
      </c>
      <c r="B6" t="s">
        <v>733</v>
      </c>
      <c r="C6" t="s">
        <v>455</v>
      </c>
      <c r="D6" t="s">
        <v>21</v>
      </c>
      <c r="E6" t="s">
        <v>734</v>
      </c>
      <c r="F6">
        <v>16</v>
      </c>
    </row>
    <row r="7" spans="1:6" x14ac:dyDescent="0.25">
      <c r="A7" t="s">
        <v>720</v>
      </c>
      <c r="B7" t="s">
        <v>721</v>
      </c>
      <c r="C7" t="s">
        <v>735</v>
      </c>
      <c r="D7" t="s">
        <v>3</v>
      </c>
      <c r="E7" t="s">
        <v>736</v>
      </c>
      <c r="F7">
        <v>20</v>
      </c>
    </row>
    <row r="8" spans="1:6" x14ac:dyDescent="0.25">
      <c r="A8" t="s">
        <v>729</v>
      </c>
      <c r="B8" t="s">
        <v>7</v>
      </c>
      <c r="C8" t="s">
        <v>737</v>
      </c>
      <c r="D8" t="s">
        <v>17</v>
      </c>
      <c r="E8" t="s">
        <v>738</v>
      </c>
      <c r="F8">
        <v>24</v>
      </c>
    </row>
    <row r="9" spans="1:6" x14ac:dyDescent="0.25">
      <c r="A9" t="s">
        <v>739</v>
      </c>
      <c r="B9" t="s">
        <v>293</v>
      </c>
      <c r="C9" t="s">
        <v>459</v>
      </c>
      <c r="D9" t="s">
        <v>9</v>
      </c>
      <c r="E9" t="s">
        <v>740</v>
      </c>
      <c r="F9">
        <v>28</v>
      </c>
    </row>
    <row r="10" spans="1:6" x14ac:dyDescent="0.25">
      <c r="A10" t="s">
        <v>720</v>
      </c>
      <c r="B10" t="s">
        <v>721</v>
      </c>
      <c r="C10" t="s">
        <v>741</v>
      </c>
      <c r="D10" t="s">
        <v>29</v>
      </c>
      <c r="E10" t="s">
        <v>742</v>
      </c>
      <c r="F10">
        <v>31</v>
      </c>
    </row>
    <row r="11" spans="1:6" x14ac:dyDescent="0.25">
      <c r="A11" t="s">
        <v>717</v>
      </c>
      <c r="B11" t="s">
        <v>21</v>
      </c>
      <c r="C11" t="s">
        <v>741</v>
      </c>
      <c r="D11" t="s">
        <v>29</v>
      </c>
      <c r="E11" t="s">
        <v>742</v>
      </c>
      <c r="F11">
        <v>31</v>
      </c>
    </row>
    <row r="12" spans="1:6" x14ac:dyDescent="0.25">
      <c r="A12" t="s">
        <v>743</v>
      </c>
      <c r="B12" t="s">
        <v>350</v>
      </c>
      <c r="C12" t="s">
        <v>744</v>
      </c>
      <c r="D12" t="s">
        <v>19</v>
      </c>
      <c r="E12" t="s">
        <v>745</v>
      </c>
      <c r="F12">
        <v>32</v>
      </c>
    </row>
    <row r="13" spans="1:6" x14ac:dyDescent="0.25">
      <c r="A13" t="s">
        <v>732</v>
      </c>
      <c r="B13" t="s">
        <v>733</v>
      </c>
      <c r="C13" t="s">
        <v>746</v>
      </c>
      <c r="D13" t="s">
        <v>25</v>
      </c>
      <c r="E13" t="s">
        <v>747</v>
      </c>
      <c r="F13">
        <v>36</v>
      </c>
    </row>
    <row r="14" spans="1:6" x14ac:dyDescent="0.25">
      <c r="A14" t="s">
        <v>720</v>
      </c>
      <c r="B14" t="s">
        <v>721</v>
      </c>
      <c r="C14" t="s">
        <v>748</v>
      </c>
      <c r="D14" t="s">
        <v>23</v>
      </c>
      <c r="E14" t="s">
        <v>749</v>
      </c>
      <c r="F14">
        <v>40</v>
      </c>
    </row>
    <row r="15" spans="1:6" x14ac:dyDescent="0.25">
      <c r="A15" t="s">
        <v>739</v>
      </c>
      <c r="B15" t="s">
        <v>293</v>
      </c>
      <c r="C15" t="s">
        <v>750</v>
      </c>
      <c r="D15" t="s">
        <v>57</v>
      </c>
      <c r="E15" t="s">
        <v>751</v>
      </c>
      <c r="F15">
        <v>44</v>
      </c>
    </row>
    <row r="16" spans="1:6" x14ac:dyDescent="0.25">
      <c r="A16" t="s">
        <v>717</v>
      </c>
      <c r="B16" t="s">
        <v>21</v>
      </c>
      <c r="C16" t="s">
        <v>752</v>
      </c>
      <c r="D16" t="s">
        <v>43</v>
      </c>
      <c r="E16" t="s">
        <v>753</v>
      </c>
      <c r="F16">
        <v>48</v>
      </c>
    </row>
    <row r="17" spans="1:6" x14ac:dyDescent="0.25">
      <c r="A17" t="s">
        <v>717</v>
      </c>
      <c r="B17" t="s">
        <v>21</v>
      </c>
      <c r="C17" t="s">
        <v>754</v>
      </c>
      <c r="D17" t="s">
        <v>35</v>
      </c>
      <c r="E17" t="s">
        <v>755</v>
      </c>
      <c r="F17">
        <v>50</v>
      </c>
    </row>
    <row r="18" spans="1:6" x14ac:dyDescent="0.25">
      <c r="A18" t="s">
        <v>720</v>
      </c>
      <c r="B18" t="s">
        <v>721</v>
      </c>
      <c r="C18" t="s">
        <v>756</v>
      </c>
      <c r="D18" t="s">
        <v>15</v>
      </c>
      <c r="E18" t="s">
        <v>757</v>
      </c>
      <c r="F18">
        <v>51</v>
      </c>
    </row>
    <row r="19" spans="1:6" x14ac:dyDescent="0.25">
      <c r="A19" t="s">
        <v>717</v>
      </c>
      <c r="B19" t="s">
        <v>21</v>
      </c>
      <c r="C19" t="s">
        <v>756</v>
      </c>
      <c r="D19" t="s">
        <v>15</v>
      </c>
      <c r="E19" t="s">
        <v>757</v>
      </c>
      <c r="F19">
        <v>51</v>
      </c>
    </row>
    <row r="20" spans="1:6" x14ac:dyDescent="0.25">
      <c r="A20" t="s">
        <v>739</v>
      </c>
      <c r="B20" t="s">
        <v>293</v>
      </c>
      <c r="C20" t="s">
        <v>469</v>
      </c>
      <c r="D20" t="s">
        <v>33</v>
      </c>
      <c r="E20" t="s">
        <v>758</v>
      </c>
      <c r="F20">
        <v>52</v>
      </c>
    </row>
    <row r="21" spans="1:6" x14ac:dyDescent="0.25">
      <c r="A21" t="s">
        <v>720</v>
      </c>
      <c r="B21" t="s">
        <v>721</v>
      </c>
      <c r="C21" t="s">
        <v>759</v>
      </c>
      <c r="D21" t="s">
        <v>37</v>
      </c>
      <c r="E21" t="s">
        <v>760</v>
      </c>
      <c r="F21">
        <v>56</v>
      </c>
    </row>
    <row r="22" spans="1:6" x14ac:dyDescent="0.25">
      <c r="A22" t="s">
        <v>739</v>
      </c>
      <c r="B22" t="s">
        <v>293</v>
      </c>
      <c r="C22" t="s">
        <v>474</v>
      </c>
      <c r="D22" t="s">
        <v>49</v>
      </c>
      <c r="E22" t="s">
        <v>761</v>
      </c>
      <c r="F22">
        <v>60</v>
      </c>
    </row>
    <row r="23" spans="1:6" x14ac:dyDescent="0.25">
      <c r="A23" t="s">
        <v>717</v>
      </c>
      <c r="B23" t="s">
        <v>21</v>
      </c>
      <c r="C23" t="s">
        <v>762</v>
      </c>
      <c r="D23" t="s">
        <v>59</v>
      </c>
      <c r="E23" t="s">
        <v>763</v>
      </c>
      <c r="F23">
        <v>64</v>
      </c>
    </row>
    <row r="24" spans="1:6" x14ac:dyDescent="0.25">
      <c r="A24" t="s">
        <v>743</v>
      </c>
      <c r="B24" t="s">
        <v>350</v>
      </c>
      <c r="C24" t="s">
        <v>764</v>
      </c>
      <c r="D24" t="s">
        <v>53</v>
      </c>
      <c r="E24" t="s">
        <v>765</v>
      </c>
      <c r="F24">
        <v>68</v>
      </c>
    </row>
    <row r="25" spans="1:6" x14ac:dyDescent="0.25">
      <c r="A25" t="s">
        <v>720</v>
      </c>
      <c r="B25" t="s">
        <v>721</v>
      </c>
      <c r="C25" t="s">
        <v>477</v>
      </c>
      <c r="D25" t="s">
        <v>31</v>
      </c>
      <c r="E25" t="s">
        <v>766</v>
      </c>
      <c r="F25">
        <v>70</v>
      </c>
    </row>
    <row r="26" spans="1:6" x14ac:dyDescent="0.25">
      <c r="A26" t="s">
        <v>729</v>
      </c>
      <c r="B26" t="s">
        <v>7</v>
      </c>
      <c r="C26" t="s">
        <v>767</v>
      </c>
      <c r="D26" t="s">
        <v>61</v>
      </c>
      <c r="E26" t="s">
        <v>768</v>
      </c>
      <c r="F26">
        <v>72</v>
      </c>
    </row>
    <row r="27" spans="1:6" x14ac:dyDescent="0.25">
      <c r="A27" t="s">
        <v>724</v>
      </c>
      <c r="B27" t="s">
        <v>725</v>
      </c>
      <c r="C27" t="s">
        <v>769</v>
      </c>
      <c r="D27" t="s">
        <v>770</v>
      </c>
      <c r="E27" t="s">
        <v>771</v>
      </c>
      <c r="F27">
        <v>74</v>
      </c>
    </row>
    <row r="28" spans="1:6" x14ac:dyDescent="0.25">
      <c r="A28" t="s">
        <v>743</v>
      </c>
      <c r="B28" t="s">
        <v>350</v>
      </c>
      <c r="C28" t="s">
        <v>772</v>
      </c>
      <c r="D28" t="s">
        <v>55</v>
      </c>
      <c r="E28" t="s">
        <v>773</v>
      </c>
      <c r="F28">
        <v>76</v>
      </c>
    </row>
    <row r="29" spans="1:6" x14ac:dyDescent="0.25">
      <c r="A29" t="s">
        <v>739</v>
      </c>
      <c r="B29" t="s">
        <v>293</v>
      </c>
      <c r="C29" t="s">
        <v>472</v>
      </c>
      <c r="D29" t="s">
        <v>65</v>
      </c>
      <c r="E29" t="s">
        <v>774</v>
      </c>
      <c r="F29">
        <v>84</v>
      </c>
    </row>
    <row r="30" spans="1:6" x14ac:dyDescent="0.25">
      <c r="A30" t="s">
        <v>717</v>
      </c>
      <c r="B30" t="s">
        <v>21</v>
      </c>
      <c r="C30" t="s">
        <v>775</v>
      </c>
      <c r="D30" t="s">
        <v>776</v>
      </c>
      <c r="E30" t="s">
        <v>777</v>
      </c>
      <c r="F30">
        <v>86</v>
      </c>
    </row>
    <row r="31" spans="1:6" x14ac:dyDescent="0.25">
      <c r="A31" t="s">
        <v>732</v>
      </c>
      <c r="B31" t="s">
        <v>733</v>
      </c>
      <c r="C31" t="s">
        <v>628</v>
      </c>
      <c r="D31" t="s">
        <v>352</v>
      </c>
      <c r="E31" t="s">
        <v>778</v>
      </c>
      <c r="F31">
        <v>90</v>
      </c>
    </row>
    <row r="32" spans="1:6" x14ac:dyDescent="0.25">
      <c r="A32" t="s">
        <v>739</v>
      </c>
      <c r="B32" t="s">
        <v>293</v>
      </c>
      <c r="C32" t="s">
        <v>480</v>
      </c>
      <c r="D32" t="s">
        <v>432</v>
      </c>
      <c r="E32" t="s">
        <v>779</v>
      </c>
      <c r="F32">
        <v>92</v>
      </c>
    </row>
    <row r="33" spans="1:6" x14ac:dyDescent="0.25">
      <c r="A33" t="s">
        <v>717</v>
      </c>
      <c r="B33" t="s">
        <v>21</v>
      </c>
      <c r="C33" t="s">
        <v>780</v>
      </c>
      <c r="D33" t="s">
        <v>51</v>
      </c>
      <c r="E33" t="s">
        <v>781</v>
      </c>
      <c r="F33">
        <v>96</v>
      </c>
    </row>
    <row r="34" spans="1:6" x14ac:dyDescent="0.25">
      <c r="A34" t="s">
        <v>720</v>
      </c>
      <c r="B34" t="s">
        <v>721</v>
      </c>
      <c r="C34" t="s">
        <v>782</v>
      </c>
      <c r="D34" t="s">
        <v>41</v>
      </c>
      <c r="E34" t="s">
        <v>783</v>
      </c>
      <c r="F34">
        <v>100</v>
      </c>
    </row>
    <row r="35" spans="1:6" x14ac:dyDescent="0.25">
      <c r="A35" t="s">
        <v>717</v>
      </c>
      <c r="B35" t="s">
        <v>21</v>
      </c>
      <c r="C35" t="s">
        <v>784</v>
      </c>
      <c r="D35" t="s">
        <v>270</v>
      </c>
      <c r="E35" t="s">
        <v>785</v>
      </c>
      <c r="F35">
        <v>104</v>
      </c>
    </row>
    <row r="36" spans="1:6" x14ac:dyDescent="0.25">
      <c r="A36" t="s">
        <v>729</v>
      </c>
      <c r="B36" t="s">
        <v>7</v>
      </c>
      <c r="C36" t="s">
        <v>786</v>
      </c>
      <c r="D36" t="s">
        <v>45</v>
      </c>
      <c r="E36" t="s">
        <v>787</v>
      </c>
      <c r="F36">
        <v>108</v>
      </c>
    </row>
    <row r="37" spans="1:6" x14ac:dyDescent="0.25">
      <c r="A37" t="s">
        <v>720</v>
      </c>
      <c r="B37" t="s">
        <v>721</v>
      </c>
      <c r="C37" t="s">
        <v>788</v>
      </c>
      <c r="D37" t="s">
        <v>63</v>
      </c>
      <c r="E37" t="s">
        <v>789</v>
      </c>
      <c r="F37">
        <v>112</v>
      </c>
    </row>
    <row r="38" spans="1:6" x14ac:dyDescent="0.25">
      <c r="A38" t="s">
        <v>717</v>
      </c>
      <c r="B38" t="s">
        <v>21</v>
      </c>
      <c r="C38" t="s">
        <v>790</v>
      </c>
      <c r="D38" t="s">
        <v>213</v>
      </c>
      <c r="E38" t="s">
        <v>791</v>
      </c>
      <c r="F38">
        <v>116</v>
      </c>
    </row>
    <row r="39" spans="1:6" x14ac:dyDescent="0.25">
      <c r="A39" t="s">
        <v>729</v>
      </c>
      <c r="B39" t="s">
        <v>7</v>
      </c>
      <c r="C39" t="s">
        <v>792</v>
      </c>
      <c r="D39" t="s">
        <v>85</v>
      </c>
      <c r="E39" t="s">
        <v>793</v>
      </c>
      <c r="F39">
        <v>120</v>
      </c>
    </row>
    <row r="40" spans="1:6" x14ac:dyDescent="0.25">
      <c r="A40" t="s">
        <v>739</v>
      </c>
      <c r="B40" t="s">
        <v>293</v>
      </c>
      <c r="C40" t="s">
        <v>487</v>
      </c>
      <c r="D40" t="s">
        <v>67</v>
      </c>
      <c r="E40" t="s">
        <v>794</v>
      </c>
      <c r="F40">
        <v>124</v>
      </c>
    </row>
    <row r="41" spans="1:6" x14ac:dyDescent="0.25">
      <c r="A41" t="s">
        <v>729</v>
      </c>
      <c r="B41" t="s">
        <v>7</v>
      </c>
      <c r="C41" t="s">
        <v>795</v>
      </c>
      <c r="D41" t="s">
        <v>95</v>
      </c>
      <c r="E41" t="s">
        <v>796</v>
      </c>
      <c r="F41">
        <v>132</v>
      </c>
    </row>
    <row r="42" spans="1:6" x14ac:dyDescent="0.25">
      <c r="A42" t="s">
        <v>739</v>
      </c>
      <c r="B42" t="s">
        <v>293</v>
      </c>
      <c r="C42" t="s">
        <v>489</v>
      </c>
      <c r="D42" t="s">
        <v>227</v>
      </c>
      <c r="E42" t="s">
        <v>797</v>
      </c>
      <c r="F42">
        <v>136</v>
      </c>
    </row>
    <row r="43" spans="1:6" x14ac:dyDescent="0.25">
      <c r="A43" t="s">
        <v>729</v>
      </c>
      <c r="B43" t="s">
        <v>7</v>
      </c>
      <c r="C43" t="s">
        <v>490</v>
      </c>
      <c r="D43" t="s">
        <v>73</v>
      </c>
      <c r="E43" t="s">
        <v>798</v>
      </c>
      <c r="F43">
        <v>140</v>
      </c>
    </row>
    <row r="44" spans="1:6" x14ac:dyDescent="0.25">
      <c r="A44" t="s">
        <v>717</v>
      </c>
      <c r="B44" t="s">
        <v>21</v>
      </c>
      <c r="C44" t="s">
        <v>799</v>
      </c>
      <c r="D44" t="s">
        <v>239</v>
      </c>
      <c r="E44" t="s">
        <v>800</v>
      </c>
      <c r="F44">
        <v>144</v>
      </c>
    </row>
    <row r="45" spans="1:6" x14ac:dyDescent="0.25">
      <c r="A45" t="s">
        <v>729</v>
      </c>
      <c r="B45" t="s">
        <v>7</v>
      </c>
      <c r="C45" t="s">
        <v>801</v>
      </c>
      <c r="D45" t="s">
        <v>392</v>
      </c>
      <c r="E45" t="s">
        <v>802</v>
      </c>
      <c r="F45">
        <v>148</v>
      </c>
    </row>
    <row r="46" spans="1:6" x14ac:dyDescent="0.25">
      <c r="A46" t="s">
        <v>743</v>
      </c>
      <c r="B46" t="s">
        <v>350</v>
      </c>
      <c r="C46" t="s">
        <v>803</v>
      </c>
      <c r="D46" t="s">
        <v>83</v>
      </c>
      <c r="E46" t="s">
        <v>804</v>
      </c>
      <c r="F46">
        <v>152</v>
      </c>
    </row>
    <row r="47" spans="1:6" x14ac:dyDescent="0.25">
      <c r="A47" t="s">
        <v>717</v>
      </c>
      <c r="B47" t="s">
        <v>21</v>
      </c>
      <c r="C47" t="s">
        <v>805</v>
      </c>
      <c r="D47" t="s">
        <v>87</v>
      </c>
      <c r="E47" t="s">
        <v>806</v>
      </c>
      <c r="F47">
        <v>156</v>
      </c>
    </row>
    <row r="48" spans="1:6" x14ac:dyDescent="0.25">
      <c r="A48" t="s">
        <v>717</v>
      </c>
      <c r="B48" t="s">
        <v>21</v>
      </c>
      <c r="C48" t="s">
        <v>698</v>
      </c>
      <c r="D48" t="s">
        <v>413</v>
      </c>
      <c r="E48" t="s">
        <v>807</v>
      </c>
      <c r="F48">
        <v>158</v>
      </c>
    </row>
    <row r="49" spans="1:6" x14ac:dyDescent="0.25">
      <c r="A49" t="s">
        <v>717</v>
      </c>
      <c r="B49" t="s">
        <v>21</v>
      </c>
      <c r="C49" t="s">
        <v>495</v>
      </c>
      <c r="D49" t="s">
        <v>99</v>
      </c>
      <c r="E49" t="s">
        <v>808</v>
      </c>
      <c r="F49">
        <v>162</v>
      </c>
    </row>
    <row r="50" spans="1:6" x14ac:dyDescent="0.25">
      <c r="A50" t="s">
        <v>717</v>
      </c>
      <c r="B50" t="s">
        <v>21</v>
      </c>
      <c r="C50" t="s">
        <v>496</v>
      </c>
      <c r="D50" t="s">
        <v>69</v>
      </c>
      <c r="E50" t="s">
        <v>809</v>
      </c>
      <c r="F50">
        <v>166</v>
      </c>
    </row>
    <row r="51" spans="1:6" x14ac:dyDescent="0.25">
      <c r="A51" t="s">
        <v>743</v>
      </c>
      <c r="B51" t="s">
        <v>350</v>
      </c>
      <c r="C51" t="s">
        <v>810</v>
      </c>
      <c r="D51" t="s">
        <v>89</v>
      </c>
      <c r="E51" t="s">
        <v>811</v>
      </c>
      <c r="F51">
        <v>170</v>
      </c>
    </row>
    <row r="52" spans="1:6" x14ac:dyDescent="0.25">
      <c r="A52" t="s">
        <v>729</v>
      </c>
      <c r="B52" t="s">
        <v>7</v>
      </c>
      <c r="C52" t="s">
        <v>812</v>
      </c>
      <c r="D52" t="s">
        <v>217</v>
      </c>
      <c r="E52" t="s">
        <v>813</v>
      </c>
      <c r="F52">
        <v>174</v>
      </c>
    </row>
    <row r="53" spans="1:6" x14ac:dyDescent="0.25">
      <c r="A53" t="s">
        <v>729</v>
      </c>
      <c r="B53" t="s">
        <v>7</v>
      </c>
      <c r="C53" t="s">
        <v>814</v>
      </c>
      <c r="D53" t="s">
        <v>815</v>
      </c>
      <c r="E53" t="s">
        <v>816</v>
      </c>
      <c r="F53">
        <v>175</v>
      </c>
    </row>
    <row r="54" spans="1:6" x14ac:dyDescent="0.25">
      <c r="A54" t="s">
        <v>729</v>
      </c>
      <c r="B54" t="s">
        <v>7</v>
      </c>
      <c r="C54" t="s">
        <v>817</v>
      </c>
      <c r="D54" t="s">
        <v>75</v>
      </c>
      <c r="E54" t="s">
        <v>818</v>
      </c>
      <c r="F54">
        <v>178</v>
      </c>
    </row>
    <row r="55" spans="1:6" x14ac:dyDescent="0.25">
      <c r="A55" t="s">
        <v>729</v>
      </c>
      <c r="B55" t="s">
        <v>7</v>
      </c>
      <c r="C55" t="s">
        <v>819</v>
      </c>
      <c r="D55" t="s">
        <v>71</v>
      </c>
      <c r="E55" t="s">
        <v>820</v>
      </c>
      <c r="F55">
        <v>180</v>
      </c>
    </row>
    <row r="56" spans="1:6" x14ac:dyDescent="0.25">
      <c r="A56" t="s">
        <v>732</v>
      </c>
      <c r="B56" t="s">
        <v>733</v>
      </c>
      <c r="C56" t="s">
        <v>499</v>
      </c>
      <c r="D56" t="s">
        <v>81</v>
      </c>
      <c r="E56" t="s">
        <v>821</v>
      </c>
      <c r="F56">
        <v>184</v>
      </c>
    </row>
    <row r="57" spans="1:6" x14ac:dyDescent="0.25">
      <c r="A57" t="s">
        <v>739</v>
      </c>
      <c r="B57" t="s">
        <v>293</v>
      </c>
      <c r="C57" t="s">
        <v>822</v>
      </c>
      <c r="D57" t="s">
        <v>91</v>
      </c>
      <c r="E57" t="s">
        <v>823</v>
      </c>
      <c r="F57">
        <v>188</v>
      </c>
    </row>
    <row r="58" spans="1:6" x14ac:dyDescent="0.25">
      <c r="A58" t="s">
        <v>720</v>
      </c>
      <c r="B58" t="s">
        <v>721</v>
      </c>
      <c r="C58" t="s">
        <v>824</v>
      </c>
      <c r="D58" t="s">
        <v>179</v>
      </c>
      <c r="E58" t="s">
        <v>825</v>
      </c>
      <c r="F58">
        <v>191</v>
      </c>
    </row>
    <row r="59" spans="1:6" x14ac:dyDescent="0.25">
      <c r="A59" t="s">
        <v>739</v>
      </c>
      <c r="B59" t="s">
        <v>293</v>
      </c>
      <c r="C59" t="s">
        <v>826</v>
      </c>
      <c r="D59" t="s">
        <v>93</v>
      </c>
      <c r="E59" t="s">
        <v>827</v>
      </c>
      <c r="F59">
        <v>192</v>
      </c>
    </row>
    <row r="60" spans="1:6" x14ac:dyDescent="0.25">
      <c r="A60" t="s">
        <v>720</v>
      </c>
      <c r="B60" t="s">
        <v>721</v>
      </c>
      <c r="C60" t="s">
        <v>828</v>
      </c>
      <c r="D60" t="s">
        <v>101</v>
      </c>
      <c r="E60" t="s">
        <v>829</v>
      </c>
      <c r="F60">
        <v>196</v>
      </c>
    </row>
    <row r="61" spans="1:6" x14ac:dyDescent="0.25">
      <c r="A61" t="s">
        <v>717</v>
      </c>
      <c r="B61" t="s">
        <v>21</v>
      </c>
      <c r="C61" t="s">
        <v>828</v>
      </c>
      <c r="D61" t="s">
        <v>101</v>
      </c>
      <c r="E61" t="s">
        <v>829</v>
      </c>
      <c r="F61">
        <v>196</v>
      </c>
    </row>
    <row r="62" spans="1:6" x14ac:dyDescent="0.25">
      <c r="A62" t="s">
        <v>720</v>
      </c>
      <c r="B62" t="s">
        <v>721</v>
      </c>
      <c r="C62" t="s">
        <v>505</v>
      </c>
      <c r="D62" t="s">
        <v>103</v>
      </c>
      <c r="E62" t="s">
        <v>830</v>
      </c>
      <c r="F62">
        <v>203</v>
      </c>
    </row>
    <row r="63" spans="1:6" x14ac:dyDescent="0.25">
      <c r="A63" t="s">
        <v>729</v>
      </c>
      <c r="B63" t="s">
        <v>7</v>
      </c>
      <c r="C63" t="s">
        <v>831</v>
      </c>
      <c r="D63" t="s">
        <v>46</v>
      </c>
      <c r="E63" t="s">
        <v>832</v>
      </c>
      <c r="F63">
        <v>204</v>
      </c>
    </row>
    <row r="64" spans="1:6" x14ac:dyDescent="0.25">
      <c r="A64" t="s">
        <v>720</v>
      </c>
      <c r="B64" t="s">
        <v>721</v>
      </c>
      <c r="C64" t="s">
        <v>833</v>
      </c>
      <c r="D64" t="s">
        <v>109</v>
      </c>
      <c r="E64" t="s">
        <v>834</v>
      </c>
      <c r="F64">
        <v>208</v>
      </c>
    </row>
    <row r="65" spans="1:6" x14ac:dyDescent="0.25">
      <c r="A65" t="s">
        <v>739</v>
      </c>
      <c r="B65" t="s">
        <v>293</v>
      </c>
      <c r="C65" t="s">
        <v>835</v>
      </c>
      <c r="D65" t="s">
        <v>111</v>
      </c>
      <c r="E65" t="s">
        <v>836</v>
      </c>
      <c r="F65">
        <v>212</v>
      </c>
    </row>
    <row r="66" spans="1:6" x14ac:dyDescent="0.25">
      <c r="A66" t="s">
        <v>739</v>
      </c>
      <c r="B66" t="s">
        <v>293</v>
      </c>
      <c r="C66" t="s">
        <v>508</v>
      </c>
      <c r="D66" t="s">
        <v>113</v>
      </c>
      <c r="E66" t="s">
        <v>837</v>
      </c>
      <c r="F66">
        <v>214</v>
      </c>
    </row>
    <row r="67" spans="1:6" x14ac:dyDescent="0.25">
      <c r="A67" t="s">
        <v>743</v>
      </c>
      <c r="B67" t="s">
        <v>350</v>
      </c>
      <c r="C67" t="s">
        <v>838</v>
      </c>
      <c r="D67" t="s">
        <v>117</v>
      </c>
      <c r="E67" t="s">
        <v>839</v>
      </c>
      <c r="F67">
        <v>218</v>
      </c>
    </row>
    <row r="68" spans="1:6" x14ac:dyDescent="0.25">
      <c r="A68" t="s">
        <v>739</v>
      </c>
      <c r="B68" t="s">
        <v>293</v>
      </c>
      <c r="C68" t="s">
        <v>840</v>
      </c>
      <c r="D68" t="s">
        <v>382</v>
      </c>
      <c r="E68" t="s">
        <v>841</v>
      </c>
      <c r="F68">
        <v>222</v>
      </c>
    </row>
    <row r="69" spans="1:6" x14ac:dyDescent="0.25">
      <c r="A69" t="s">
        <v>729</v>
      </c>
      <c r="B69" t="s">
        <v>7</v>
      </c>
      <c r="C69" t="s">
        <v>842</v>
      </c>
      <c r="D69" t="s">
        <v>163</v>
      </c>
      <c r="E69" t="s">
        <v>843</v>
      </c>
      <c r="F69">
        <v>226</v>
      </c>
    </row>
    <row r="70" spans="1:6" x14ac:dyDescent="0.25">
      <c r="A70" t="s">
        <v>729</v>
      </c>
      <c r="B70" t="s">
        <v>7</v>
      </c>
      <c r="C70" t="s">
        <v>844</v>
      </c>
      <c r="D70" t="s">
        <v>127</v>
      </c>
      <c r="E70" t="s">
        <v>845</v>
      </c>
      <c r="F70">
        <v>231</v>
      </c>
    </row>
    <row r="71" spans="1:6" x14ac:dyDescent="0.25">
      <c r="A71" t="s">
        <v>729</v>
      </c>
      <c r="B71" t="s">
        <v>7</v>
      </c>
      <c r="C71" t="s">
        <v>846</v>
      </c>
      <c r="D71" t="s">
        <v>123</v>
      </c>
      <c r="E71" t="s">
        <v>847</v>
      </c>
      <c r="F71">
        <v>232</v>
      </c>
    </row>
    <row r="72" spans="1:6" x14ac:dyDescent="0.25">
      <c r="A72" t="s">
        <v>720</v>
      </c>
      <c r="B72" t="s">
        <v>721</v>
      </c>
      <c r="C72" t="s">
        <v>848</v>
      </c>
      <c r="D72" t="s">
        <v>119</v>
      </c>
      <c r="E72" t="s">
        <v>849</v>
      </c>
      <c r="F72">
        <v>233</v>
      </c>
    </row>
    <row r="73" spans="1:6" x14ac:dyDescent="0.25">
      <c r="A73" t="s">
        <v>720</v>
      </c>
      <c r="B73" t="s">
        <v>721</v>
      </c>
      <c r="C73" t="s">
        <v>517</v>
      </c>
      <c r="D73" t="s">
        <v>137</v>
      </c>
      <c r="E73" t="s">
        <v>850</v>
      </c>
      <c r="F73">
        <v>234</v>
      </c>
    </row>
    <row r="74" spans="1:6" x14ac:dyDescent="0.25">
      <c r="A74" t="s">
        <v>743</v>
      </c>
      <c r="B74" t="s">
        <v>350</v>
      </c>
      <c r="C74" t="s">
        <v>851</v>
      </c>
      <c r="D74" t="s">
        <v>133</v>
      </c>
      <c r="E74" t="s">
        <v>852</v>
      </c>
      <c r="F74">
        <v>238</v>
      </c>
    </row>
    <row r="75" spans="1:6" x14ac:dyDescent="0.25">
      <c r="A75" t="s">
        <v>724</v>
      </c>
      <c r="B75" t="s">
        <v>725</v>
      </c>
      <c r="C75" t="s">
        <v>632</v>
      </c>
      <c r="D75" t="s">
        <v>167</v>
      </c>
      <c r="E75" t="s">
        <v>853</v>
      </c>
      <c r="F75">
        <v>239</v>
      </c>
    </row>
    <row r="76" spans="1:6" x14ac:dyDescent="0.25">
      <c r="A76" t="s">
        <v>732</v>
      </c>
      <c r="B76" t="s">
        <v>733</v>
      </c>
      <c r="C76" t="s">
        <v>854</v>
      </c>
      <c r="D76" t="s">
        <v>131</v>
      </c>
      <c r="E76" t="s">
        <v>855</v>
      </c>
      <c r="F76">
        <v>242</v>
      </c>
    </row>
    <row r="77" spans="1:6" x14ac:dyDescent="0.25">
      <c r="A77" t="s">
        <v>720</v>
      </c>
      <c r="B77" t="s">
        <v>721</v>
      </c>
      <c r="C77" t="s">
        <v>856</v>
      </c>
      <c r="D77" t="s">
        <v>129</v>
      </c>
      <c r="E77" t="s">
        <v>857</v>
      </c>
      <c r="F77">
        <v>246</v>
      </c>
    </row>
    <row r="78" spans="1:6" x14ac:dyDescent="0.25">
      <c r="A78" t="s">
        <v>720</v>
      </c>
      <c r="B78" t="s">
        <v>721</v>
      </c>
      <c r="C78" t="s">
        <v>858</v>
      </c>
      <c r="D78" t="s">
        <v>859</v>
      </c>
      <c r="E78" t="s">
        <v>860</v>
      </c>
      <c r="F78">
        <v>248</v>
      </c>
    </row>
    <row r="79" spans="1:6" x14ac:dyDescent="0.25">
      <c r="A79" t="s">
        <v>720</v>
      </c>
      <c r="B79" t="s">
        <v>721</v>
      </c>
      <c r="C79" t="s">
        <v>861</v>
      </c>
      <c r="D79" t="s">
        <v>139</v>
      </c>
      <c r="E79" t="s">
        <v>862</v>
      </c>
      <c r="F79">
        <v>250</v>
      </c>
    </row>
    <row r="80" spans="1:6" x14ac:dyDescent="0.25">
      <c r="A80" t="s">
        <v>743</v>
      </c>
      <c r="B80" t="s">
        <v>350</v>
      </c>
      <c r="C80" t="s">
        <v>521</v>
      </c>
      <c r="D80" t="s">
        <v>149</v>
      </c>
      <c r="E80" t="s">
        <v>863</v>
      </c>
      <c r="F80">
        <v>254</v>
      </c>
    </row>
    <row r="81" spans="1:6" x14ac:dyDescent="0.25">
      <c r="A81" t="s">
        <v>732</v>
      </c>
      <c r="B81" t="s">
        <v>733</v>
      </c>
      <c r="C81" t="s">
        <v>522</v>
      </c>
      <c r="D81" t="s">
        <v>321</v>
      </c>
      <c r="E81" t="s">
        <v>864</v>
      </c>
      <c r="F81">
        <v>258</v>
      </c>
    </row>
    <row r="82" spans="1:6" x14ac:dyDescent="0.25">
      <c r="A82" t="s">
        <v>724</v>
      </c>
      <c r="B82" t="s">
        <v>725</v>
      </c>
      <c r="C82" t="s">
        <v>865</v>
      </c>
      <c r="D82" t="s">
        <v>866</v>
      </c>
      <c r="E82" t="s">
        <v>867</v>
      </c>
      <c r="F82">
        <v>260</v>
      </c>
    </row>
    <row r="83" spans="1:6" x14ac:dyDescent="0.25">
      <c r="A83" t="s">
        <v>729</v>
      </c>
      <c r="B83" t="s">
        <v>7</v>
      </c>
      <c r="C83" t="s">
        <v>868</v>
      </c>
      <c r="D83" t="s">
        <v>107</v>
      </c>
      <c r="E83" t="s">
        <v>869</v>
      </c>
      <c r="F83">
        <v>262</v>
      </c>
    </row>
    <row r="84" spans="1:6" x14ac:dyDescent="0.25">
      <c r="A84" t="s">
        <v>729</v>
      </c>
      <c r="B84" t="s">
        <v>7</v>
      </c>
      <c r="C84" t="s">
        <v>870</v>
      </c>
      <c r="D84" t="s">
        <v>141</v>
      </c>
      <c r="E84" t="s">
        <v>871</v>
      </c>
      <c r="F84">
        <v>266</v>
      </c>
    </row>
    <row r="85" spans="1:6" x14ac:dyDescent="0.25">
      <c r="A85" t="s">
        <v>720</v>
      </c>
      <c r="B85" t="s">
        <v>721</v>
      </c>
      <c r="C85" t="s">
        <v>525</v>
      </c>
      <c r="D85" t="s">
        <v>147</v>
      </c>
      <c r="E85" t="s">
        <v>872</v>
      </c>
      <c r="F85">
        <v>268</v>
      </c>
    </row>
    <row r="86" spans="1:6" x14ac:dyDescent="0.25">
      <c r="A86" t="s">
        <v>717</v>
      </c>
      <c r="B86" t="s">
        <v>21</v>
      </c>
      <c r="C86" t="s">
        <v>525</v>
      </c>
      <c r="D86" t="s">
        <v>147</v>
      </c>
      <c r="E86" t="s">
        <v>872</v>
      </c>
      <c r="F86">
        <v>268</v>
      </c>
    </row>
    <row r="87" spans="1:6" x14ac:dyDescent="0.25">
      <c r="A87" t="s">
        <v>729</v>
      </c>
      <c r="B87" t="s">
        <v>7</v>
      </c>
      <c r="C87" t="s">
        <v>873</v>
      </c>
      <c r="D87" t="s">
        <v>159</v>
      </c>
      <c r="E87" t="s">
        <v>874</v>
      </c>
      <c r="F87">
        <v>270</v>
      </c>
    </row>
    <row r="88" spans="1:6" x14ac:dyDescent="0.25">
      <c r="A88" t="s">
        <v>717</v>
      </c>
      <c r="B88" t="s">
        <v>21</v>
      </c>
      <c r="C88" t="s">
        <v>875</v>
      </c>
      <c r="D88" t="s">
        <v>876</v>
      </c>
      <c r="E88" t="s">
        <v>877</v>
      </c>
      <c r="F88">
        <v>275</v>
      </c>
    </row>
    <row r="89" spans="1:6" x14ac:dyDescent="0.25">
      <c r="A89" t="s">
        <v>720</v>
      </c>
      <c r="B89" t="s">
        <v>721</v>
      </c>
      <c r="C89" t="s">
        <v>878</v>
      </c>
      <c r="D89" t="s">
        <v>105</v>
      </c>
      <c r="E89" t="s">
        <v>879</v>
      </c>
      <c r="F89">
        <v>276</v>
      </c>
    </row>
    <row r="90" spans="1:6" x14ac:dyDescent="0.25">
      <c r="A90" t="s">
        <v>729</v>
      </c>
      <c r="B90" t="s">
        <v>7</v>
      </c>
      <c r="C90" t="s">
        <v>880</v>
      </c>
      <c r="D90" t="s">
        <v>153</v>
      </c>
      <c r="E90" t="s">
        <v>881</v>
      </c>
      <c r="F90">
        <v>288</v>
      </c>
    </row>
    <row r="91" spans="1:6" x14ac:dyDescent="0.25">
      <c r="A91" t="s">
        <v>720</v>
      </c>
      <c r="B91" t="s">
        <v>721</v>
      </c>
      <c r="C91" t="s">
        <v>156</v>
      </c>
      <c r="D91" t="s">
        <v>155</v>
      </c>
      <c r="E91" t="s">
        <v>882</v>
      </c>
      <c r="F91">
        <v>292</v>
      </c>
    </row>
    <row r="92" spans="1:6" x14ac:dyDescent="0.25">
      <c r="A92" t="s">
        <v>732</v>
      </c>
      <c r="B92" t="s">
        <v>733</v>
      </c>
      <c r="C92" t="s">
        <v>883</v>
      </c>
      <c r="D92" t="s">
        <v>215</v>
      </c>
      <c r="E92" t="s">
        <v>884</v>
      </c>
      <c r="F92">
        <v>296</v>
      </c>
    </row>
    <row r="93" spans="1:6" x14ac:dyDescent="0.25">
      <c r="A93" t="s">
        <v>720</v>
      </c>
      <c r="B93" t="s">
        <v>721</v>
      </c>
      <c r="C93" t="s">
        <v>885</v>
      </c>
      <c r="D93" t="s">
        <v>165</v>
      </c>
      <c r="E93" t="s">
        <v>886</v>
      </c>
      <c r="F93">
        <v>300</v>
      </c>
    </row>
    <row r="94" spans="1:6" x14ac:dyDescent="0.25">
      <c r="A94" t="s">
        <v>739</v>
      </c>
      <c r="B94" t="s">
        <v>293</v>
      </c>
      <c r="C94" t="s">
        <v>529</v>
      </c>
      <c r="D94" t="s">
        <v>157</v>
      </c>
      <c r="E94" t="s">
        <v>887</v>
      </c>
      <c r="F94">
        <v>304</v>
      </c>
    </row>
    <row r="95" spans="1:6" x14ac:dyDescent="0.25">
      <c r="A95" t="s">
        <v>739</v>
      </c>
      <c r="B95" t="s">
        <v>293</v>
      </c>
      <c r="C95" t="s">
        <v>530</v>
      </c>
      <c r="D95" t="s">
        <v>145</v>
      </c>
      <c r="E95" t="s">
        <v>888</v>
      </c>
      <c r="F95">
        <v>308</v>
      </c>
    </row>
    <row r="96" spans="1:6" x14ac:dyDescent="0.25">
      <c r="A96" t="s">
        <v>739</v>
      </c>
      <c r="B96" t="s">
        <v>293</v>
      </c>
      <c r="C96" t="s">
        <v>889</v>
      </c>
      <c r="D96" t="s">
        <v>890</v>
      </c>
      <c r="E96" t="s">
        <v>891</v>
      </c>
      <c r="F96">
        <v>312</v>
      </c>
    </row>
    <row r="97" spans="1:6" x14ac:dyDescent="0.25">
      <c r="A97" t="s">
        <v>732</v>
      </c>
      <c r="B97" t="s">
        <v>733</v>
      </c>
      <c r="C97" t="s">
        <v>531</v>
      </c>
      <c r="D97" t="s">
        <v>171</v>
      </c>
      <c r="E97" t="s">
        <v>892</v>
      </c>
      <c r="F97">
        <v>316</v>
      </c>
    </row>
    <row r="98" spans="1:6" x14ac:dyDescent="0.25">
      <c r="A98" t="s">
        <v>739</v>
      </c>
      <c r="B98" t="s">
        <v>293</v>
      </c>
      <c r="C98" t="s">
        <v>893</v>
      </c>
      <c r="D98" t="s">
        <v>169</v>
      </c>
      <c r="E98" t="s">
        <v>894</v>
      </c>
      <c r="F98">
        <v>320</v>
      </c>
    </row>
    <row r="99" spans="1:6" x14ac:dyDescent="0.25">
      <c r="A99" t="s">
        <v>729</v>
      </c>
      <c r="B99" t="s">
        <v>7</v>
      </c>
      <c r="C99" t="s">
        <v>895</v>
      </c>
      <c r="D99" t="s">
        <v>161</v>
      </c>
      <c r="E99" t="s">
        <v>896</v>
      </c>
      <c r="F99">
        <v>324</v>
      </c>
    </row>
    <row r="100" spans="1:6" x14ac:dyDescent="0.25">
      <c r="A100" t="s">
        <v>743</v>
      </c>
      <c r="B100" t="s">
        <v>350</v>
      </c>
      <c r="C100" t="s">
        <v>897</v>
      </c>
      <c r="D100" t="s">
        <v>175</v>
      </c>
      <c r="E100" t="s">
        <v>898</v>
      </c>
      <c r="F100">
        <v>328</v>
      </c>
    </row>
    <row r="101" spans="1:6" x14ac:dyDescent="0.25">
      <c r="A101" t="s">
        <v>739</v>
      </c>
      <c r="B101" t="s">
        <v>293</v>
      </c>
      <c r="C101" t="s">
        <v>899</v>
      </c>
      <c r="D101" t="s">
        <v>181</v>
      </c>
      <c r="E101" t="s">
        <v>900</v>
      </c>
      <c r="F101">
        <v>332</v>
      </c>
    </row>
    <row r="102" spans="1:6" x14ac:dyDescent="0.25">
      <c r="A102" t="s">
        <v>724</v>
      </c>
      <c r="B102" t="s">
        <v>725</v>
      </c>
      <c r="C102" t="s">
        <v>901</v>
      </c>
      <c r="D102" t="s">
        <v>902</v>
      </c>
      <c r="E102" t="s">
        <v>903</v>
      </c>
      <c r="F102">
        <v>334</v>
      </c>
    </row>
    <row r="103" spans="1:6" x14ac:dyDescent="0.25">
      <c r="A103" t="s">
        <v>720</v>
      </c>
      <c r="B103" t="s">
        <v>721</v>
      </c>
      <c r="C103" t="s">
        <v>904</v>
      </c>
      <c r="D103" t="s">
        <v>426</v>
      </c>
      <c r="E103" t="s">
        <v>905</v>
      </c>
      <c r="F103">
        <v>336</v>
      </c>
    </row>
    <row r="104" spans="1:6" x14ac:dyDescent="0.25">
      <c r="A104" t="s">
        <v>739</v>
      </c>
      <c r="B104" t="s">
        <v>293</v>
      </c>
      <c r="C104" t="s">
        <v>906</v>
      </c>
      <c r="D104" t="s">
        <v>177</v>
      </c>
      <c r="E104" t="s">
        <v>907</v>
      </c>
      <c r="F104">
        <v>340</v>
      </c>
    </row>
    <row r="105" spans="1:6" x14ac:dyDescent="0.25">
      <c r="A105" t="s">
        <v>717</v>
      </c>
      <c r="B105" t="s">
        <v>21</v>
      </c>
      <c r="C105" t="s">
        <v>908</v>
      </c>
      <c r="D105" t="s">
        <v>909</v>
      </c>
      <c r="E105" t="s">
        <v>910</v>
      </c>
      <c r="F105">
        <v>344</v>
      </c>
    </row>
    <row r="106" spans="1:6" x14ac:dyDescent="0.25">
      <c r="A106" t="s">
        <v>720</v>
      </c>
      <c r="B106" t="s">
        <v>721</v>
      </c>
      <c r="C106" t="s">
        <v>911</v>
      </c>
      <c r="D106" t="s">
        <v>182</v>
      </c>
      <c r="E106" t="s">
        <v>912</v>
      </c>
      <c r="F106">
        <v>348</v>
      </c>
    </row>
    <row r="107" spans="1:6" x14ac:dyDescent="0.25">
      <c r="A107" t="s">
        <v>720</v>
      </c>
      <c r="B107" t="s">
        <v>721</v>
      </c>
      <c r="C107" t="s">
        <v>913</v>
      </c>
      <c r="D107" t="s">
        <v>198</v>
      </c>
      <c r="E107" t="s">
        <v>914</v>
      </c>
      <c r="F107">
        <v>352</v>
      </c>
    </row>
    <row r="108" spans="1:6" x14ac:dyDescent="0.25">
      <c r="A108" t="s">
        <v>717</v>
      </c>
      <c r="B108" t="s">
        <v>21</v>
      </c>
      <c r="C108" t="s">
        <v>915</v>
      </c>
      <c r="D108" t="s">
        <v>192</v>
      </c>
      <c r="E108" t="s">
        <v>916</v>
      </c>
      <c r="F108">
        <v>356</v>
      </c>
    </row>
    <row r="109" spans="1:6" x14ac:dyDescent="0.25">
      <c r="A109" t="s">
        <v>717</v>
      </c>
      <c r="B109" t="s">
        <v>21</v>
      </c>
      <c r="C109" t="s">
        <v>917</v>
      </c>
      <c r="D109" t="s">
        <v>184</v>
      </c>
      <c r="E109" t="s">
        <v>918</v>
      </c>
      <c r="F109">
        <v>360</v>
      </c>
    </row>
    <row r="110" spans="1:6" x14ac:dyDescent="0.25">
      <c r="A110" t="s">
        <v>717</v>
      </c>
      <c r="B110" t="s">
        <v>21</v>
      </c>
      <c r="C110" t="s">
        <v>919</v>
      </c>
      <c r="D110" t="s">
        <v>196</v>
      </c>
      <c r="E110" t="s">
        <v>920</v>
      </c>
      <c r="F110">
        <v>364</v>
      </c>
    </row>
    <row r="111" spans="1:6" x14ac:dyDescent="0.25">
      <c r="A111" t="s">
        <v>717</v>
      </c>
      <c r="B111" t="s">
        <v>21</v>
      </c>
      <c r="C111" t="s">
        <v>921</v>
      </c>
      <c r="D111" t="s">
        <v>194</v>
      </c>
      <c r="E111" t="s">
        <v>922</v>
      </c>
      <c r="F111">
        <v>368</v>
      </c>
    </row>
    <row r="112" spans="1:6" x14ac:dyDescent="0.25">
      <c r="A112" t="s">
        <v>720</v>
      </c>
      <c r="B112" t="s">
        <v>721</v>
      </c>
      <c r="C112" t="s">
        <v>544</v>
      </c>
      <c r="D112" t="s">
        <v>186</v>
      </c>
      <c r="E112" t="s">
        <v>923</v>
      </c>
      <c r="F112">
        <v>372</v>
      </c>
    </row>
    <row r="113" spans="1:6" x14ac:dyDescent="0.25">
      <c r="A113" t="s">
        <v>717</v>
      </c>
      <c r="B113" t="s">
        <v>21</v>
      </c>
      <c r="C113" t="s">
        <v>924</v>
      </c>
      <c r="D113" t="s">
        <v>188</v>
      </c>
      <c r="E113" t="s">
        <v>925</v>
      </c>
      <c r="F113">
        <v>376</v>
      </c>
    </row>
    <row r="114" spans="1:6" x14ac:dyDescent="0.25">
      <c r="A114" t="s">
        <v>720</v>
      </c>
      <c r="B114" t="s">
        <v>721</v>
      </c>
      <c r="C114" t="s">
        <v>926</v>
      </c>
      <c r="D114" t="s">
        <v>200</v>
      </c>
      <c r="E114" t="s">
        <v>927</v>
      </c>
      <c r="F114">
        <v>380</v>
      </c>
    </row>
    <row r="115" spans="1:6" x14ac:dyDescent="0.25">
      <c r="A115" t="s">
        <v>729</v>
      </c>
      <c r="B115" t="s">
        <v>7</v>
      </c>
      <c r="C115" t="s">
        <v>928</v>
      </c>
      <c r="D115" t="s">
        <v>79</v>
      </c>
      <c r="E115" t="s">
        <v>929</v>
      </c>
      <c r="F115">
        <v>384</v>
      </c>
    </row>
    <row r="116" spans="1:6" x14ac:dyDescent="0.25">
      <c r="A116" t="s">
        <v>739</v>
      </c>
      <c r="B116" t="s">
        <v>293</v>
      </c>
      <c r="C116" t="s">
        <v>548</v>
      </c>
      <c r="D116" t="s">
        <v>203</v>
      </c>
      <c r="E116" t="s">
        <v>930</v>
      </c>
      <c r="F116">
        <v>388</v>
      </c>
    </row>
    <row r="117" spans="1:6" x14ac:dyDescent="0.25">
      <c r="A117" t="s">
        <v>717</v>
      </c>
      <c r="B117" t="s">
        <v>21</v>
      </c>
      <c r="C117" t="s">
        <v>549</v>
      </c>
      <c r="D117" t="s">
        <v>207</v>
      </c>
      <c r="E117" t="s">
        <v>931</v>
      </c>
      <c r="F117">
        <v>392</v>
      </c>
    </row>
    <row r="118" spans="1:6" x14ac:dyDescent="0.25">
      <c r="A118" t="s">
        <v>720</v>
      </c>
      <c r="B118" t="s">
        <v>721</v>
      </c>
      <c r="C118" t="s">
        <v>932</v>
      </c>
      <c r="D118" t="s">
        <v>229</v>
      </c>
      <c r="E118" t="s">
        <v>933</v>
      </c>
      <c r="F118">
        <v>398</v>
      </c>
    </row>
    <row r="119" spans="1:6" x14ac:dyDescent="0.25">
      <c r="A119" t="s">
        <v>717</v>
      </c>
      <c r="B119" t="s">
        <v>21</v>
      </c>
      <c r="C119" t="s">
        <v>932</v>
      </c>
      <c r="D119" t="s">
        <v>229</v>
      </c>
      <c r="E119" t="s">
        <v>933</v>
      </c>
      <c r="F119">
        <v>398</v>
      </c>
    </row>
    <row r="120" spans="1:6" x14ac:dyDescent="0.25">
      <c r="A120" t="s">
        <v>717</v>
      </c>
      <c r="B120" t="s">
        <v>21</v>
      </c>
      <c r="C120" t="s">
        <v>934</v>
      </c>
      <c r="D120" t="s">
        <v>205</v>
      </c>
      <c r="E120" t="s">
        <v>935</v>
      </c>
      <c r="F120">
        <v>400</v>
      </c>
    </row>
    <row r="121" spans="1:6" x14ac:dyDescent="0.25">
      <c r="A121" t="s">
        <v>729</v>
      </c>
      <c r="B121" t="s">
        <v>7</v>
      </c>
      <c r="C121" t="s">
        <v>936</v>
      </c>
      <c r="D121" t="s">
        <v>209</v>
      </c>
      <c r="E121" t="s">
        <v>937</v>
      </c>
      <c r="F121">
        <v>404</v>
      </c>
    </row>
    <row r="122" spans="1:6" x14ac:dyDescent="0.25">
      <c r="A122" t="s">
        <v>717</v>
      </c>
      <c r="B122" t="s">
        <v>21</v>
      </c>
      <c r="C122" t="s">
        <v>938</v>
      </c>
      <c r="D122" t="s">
        <v>221</v>
      </c>
      <c r="E122" t="s">
        <v>939</v>
      </c>
      <c r="F122">
        <v>408</v>
      </c>
    </row>
    <row r="123" spans="1:6" x14ac:dyDescent="0.25">
      <c r="A123" t="s">
        <v>717</v>
      </c>
      <c r="B123" t="s">
        <v>21</v>
      </c>
      <c r="C123" t="s">
        <v>940</v>
      </c>
      <c r="D123" t="s">
        <v>223</v>
      </c>
      <c r="E123" t="s">
        <v>941</v>
      </c>
      <c r="F123">
        <v>410</v>
      </c>
    </row>
    <row r="124" spans="1:6" x14ac:dyDescent="0.25">
      <c r="A124" t="s">
        <v>717</v>
      </c>
      <c r="B124" t="s">
        <v>21</v>
      </c>
      <c r="C124" t="s">
        <v>942</v>
      </c>
      <c r="D124" t="s">
        <v>225</v>
      </c>
      <c r="E124" t="s">
        <v>943</v>
      </c>
      <c r="F124">
        <v>414</v>
      </c>
    </row>
    <row r="125" spans="1:6" x14ac:dyDescent="0.25">
      <c r="A125" t="s">
        <v>717</v>
      </c>
      <c r="B125" t="s">
        <v>21</v>
      </c>
      <c r="C125" t="s">
        <v>944</v>
      </c>
      <c r="D125" t="s">
        <v>211</v>
      </c>
      <c r="E125" t="s">
        <v>945</v>
      </c>
      <c r="F125">
        <v>417</v>
      </c>
    </row>
    <row r="126" spans="1:6" x14ac:dyDescent="0.25">
      <c r="A126" t="s">
        <v>717</v>
      </c>
      <c r="B126" t="s">
        <v>21</v>
      </c>
      <c r="C126" t="s">
        <v>946</v>
      </c>
      <c r="D126" t="s">
        <v>231</v>
      </c>
      <c r="E126" t="s">
        <v>947</v>
      </c>
      <c r="F126">
        <v>418</v>
      </c>
    </row>
    <row r="127" spans="1:6" x14ac:dyDescent="0.25">
      <c r="A127" t="s">
        <v>717</v>
      </c>
      <c r="B127" t="s">
        <v>21</v>
      </c>
      <c r="C127" t="s">
        <v>948</v>
      </c>
      <c r="D127" t="s">
        <v>233</v>
      </c>
      <c r="E127" t="s">
        <v>949</v>
      </c>
      <c r="F127">
        <v>422</v>
      </c>
    </row>
    <row r="128" spans="1:6" x14ac:dyDescent="0.25">
      <c r="A128" t="s">
        <v>729</v>
      </c>
      <c r="B128" t="s">
        <v>7</v>
      </c>
      <c r="C128" t="s">
        <v>950</v>
      </c>
      <c r="D128" t="s">
        <v>242</v>
      </c>
      <c r="E128" t="s">
        <v>951</v>
      </c>
      <c r="F128">
        <v>426</v>
      </c>
    </row>
    <row r="129" spans="1:6" x14ac:dyDescent="0.25">
      <c r="A129" t="s">
        <v>720</v>
      </c>
      <c r="B129" t="s">
        <v>721</v>
      </c>
      <c r="C129" t="s">
        <v>952</v>
      </c>
      <c r="D129" t="s">
        <v>248</v>
      </c>
      <c r="E129" t="s">
        <v>953</v>
      </c>
      <c r="F129">
        <v>428</v>
      </c>
    </row>
    <row r="130" spans="1:6" x14ac:dyDescent="0.25">
      <c r="A130" t="s">
        <v>729</v>
      </c>
      <c r="B130" t="s">
        <v>7</v>
      </c>
      <c r="C130" t="s">
        <v>954</v>
      </c>
      <c r="D130" t="s">
        <v>240</v>
      </c>
      <c r="E130" t="s">
        <v>955</v>
      </c>
      <c r="F130">
        <v>430</v>
      </c>
    </row>
    <row r="131" spans="1:6" x14ac:dyDescent="0.25">
      <c r="A131" t="s">
        <v>729</v>
      </c>
      <c r="B131" t="s">
        <v>7</v>
      </c>
      <c r="C131" t="s">
        <v>956</v>
      </c>
      <c r="D131" t="s">
        <v>250</v>
      </c>
      <c r="E131" t="s">
        <v>957</v>
      </c>
      <c r="F131">
        <v>434</v>
      </c>
    </row>
    <row r="132" spans="1:6" x14ac:dyDescent="0.25">
      <c r="A132" t="s">
        <v>720</v>
      </c>
      <c r="B132" t="s">
        <v>721</v>
      </c>
      <c r="C132" t="s">
        <v>958</v>
      </c>
      <c r="D132" t="s">
        <v>237</v>
      </c>
      <c r="E132" t="s">
        <v>959</v>
      </c>
      <c r="F132">
        <v>438</v>
      </c>
    </row>
    <row r="133" spans="1:6" x14ac:dyDescent="0.25">
      <c r="A133" t="s">
        <v>720</v>
      </c>
      <c r="B133" t="s">
        <v>721</v>
      </c>
      <c r="C133" t="s">
        <v>960</v>
      </c>
      <c r="D133" t="s">
        <v>244</v>
      </c>
      <c r="E133" t="s">
        <v>961</v>
      </c>
      <c r="F133">
        <v>440</v>
      </c>
    </row>
    <row r="134" spans="1:6" x14ac:dyDescent="0.25">
      <c r="A134" t="s">
        <v>720</v>
      </c>
      <c r="B134" t="s">
        <v>721</v>
      </c>
      <c r="C134" t="s">
        <v>962</v>
      </c>
      <c r="D134" t="s">
        <v>246</v>
      </c>
      <c r="E134" t="s">
        <v>963</v>
      </c>
      <c r="F134">
        <v>442</v>
      </c>
    </row>
    <row r="135" spans="1:6" x14ac:dyDescent="0.25">
      <c r="A135" t="s">
        <v>717</v>
      </c>
      <c r="B135" t="s">
        <v>21</v>
      </c>
      <c r="C135" t="s">
        <v>964</v>
      </c>
      <c r="D135" t="s">
        <v>965</v>
      </c>
      <c r="E135" t="s">
        <v>966</v>
      </c>
      <c r="F135">
        <v>446</v>
      </c>
    </row>
    <row r="136" spans="1:6" x14ac:dyDescent="0.25">
      <c r="A136" t="s">
        <v>729</v>
      </c>
      <c r="B136" t="s">
        <v>7</v>
      </c>
      <c r="C136" t="s">
        <v>967</v>
      </c>
      <c r="D136" t="s">
        <v>262</v>
      </c>
      <c r="E136" t="s">
        <v>968</v>
      </c>
      <c r="F136">
        <v>450</v>
      </c>
    </row>
    <row r="137" spans="1:6" x14ac:dyDescent="0.25">
      <c r="A137" t="s">
        <v>729</v>
      </c>
      <c r="B137" t="s">
        <v>7</v>
      </c>
      <c r="C137" t="s">
        <v>969</v>
      </c>
      <c r="D137" t="s">
        <v>285</v>
      </c>
      <c r="E137" t="s">
        <v>970</v>
      </c>
      <c r="F137">
        <v>454</v>
      </c>
    </row>
    <row r="138" spans="1:6" x14ac:dyDescent="0.25">
      <c r="A138" t="s">
        <v>717</v>
      </c>
      <c r="B138" t="s">
        <v>21</v>
      </c>
      <c r="C138" t="s">
        <v>567</v>
      </c>
      <c r="D138" t="s">
        <v>289</v>
      </c>
      <c r="E138" t="s">
        <v>971</v>
      </c>
      <c r="F138">
        <v>458</v>
      </c>
    </row>
    <row r="139" spans="1:6" x14ac:dyDescent="0.25">
      <c r="A139" t="s">
        <v>717</v>
      </c>
      <c r="B139" t="s">
        <v>21</v>
      </c>
      <c r="C139" t="s">
        <v>972</v>
      </c>
      <c r="D139" t="s">
        <v>283</v>
      </c>
      <c r="E139" t="s">
        <v>973</v>
      </c>
      <c r="F139">
        <v>462</v>
      </c>
    </row>
    <row r="140" spans="1:6" x14ac:dyDescent="0.25">
      <c r="A140" t="s">
        <v>729</v>
      </c>
      <c r="B140" t="s">
        <v>7</v>
      </c>
      <c r="C140" t="s">
        <v>974</v>
      </c>
      <c r="D140" t="s">
        <v>268</v>
      </c>
      <c r="E140" t="s">
        <v>975</v>
      </c>
      <c r="F140">
        <v>466</v>
      </c>
    </row>
    <row r="141" spans="1:6" x14ac:dyDescent="0.25">
      <c r="A141" t="s">
        <v>720</v>
      </c>
      <c r="B141" t="s">
        <v>721</v>
      </c>
      <c r="C141" t="s">
        <v>976</v>
      </c>
      <c r="D141" t="s">
        <v>279</v>
      </c>
      <c r="E141" t="s">
        <v>977</v>
      </c>
      <c r="F141">
        <v>470</v>
      </c>
    </row>
    <row r="142" spans="1:6" x14ac:dyDescent="0.25">
      <c r="A142" t="s">
        <v>739</v>
      </c>
      <c r="B142" t="s">
        <v>293</v>
      </c>
      <c r="C142" t="s">
        <v>978</v>
      </c>
      <c r="D142" t="s">
        <v>979</v>
      </c>
      <c r="E142" t="s">
        <v>980</v>
      </c>
      <c r="F142">
        <v>474</v>
      </c>
    </row>
    <row r="143" spans="1:6" x14ac:dyDescent="0.25">
      <c r="A143" t="s">
        <v>729</v>
      </c>
      <c r="B143" t="s">
        <v>7</v>
      </c>
      <c r="C143" t="s">
        <v>981</v>
      </c>
      <c r="D143" t="s">
        <v>275</v>
      </c>
      <c r="E143" t="s">
        <v>982</v>
      </c>
      <c r="F143">
        <v>478</v>
      </c>
    </row>
    <row r="144" spans="1:6" x14ac:dyDescent="0.25">
      <c r="A144" t="s">
        <v>729</v>
      </c>
      <c r="B144" t="s">
        <v>7</v>
      </c>
      <c r="C144" t="s">
        <v>983</v>
      </c>
      <c r="D144" t="s">
        <v>281</v>
      </c>
      <c r="E144" t="s">
        <v>984</v>
      </c>
      <c r="F144">
        <v>480</v>
      </c>
    </row>
    <row r="145" spans="1:6" x14ac:dyDescent="0.25">
      <c r="A145" t="s">
        <v>739</v>
      </c>
      <c r="B145" t="s">
        <v>293</v>
      </c>
      <c r="C145" t="s">
        <v>985</v>
      </c>
      <c r="D145" t="s">
        <v>287</v>
      </c>
      <c r="E145" t="s">
        <v>986</v>
      </c>
      <c r="F145">
        <v>484</v>
      </c>
    </row>
    <row r="146" spans="1:6" x14ac:dyDescent="0.25">
      <c r="A146" t="s">
        <v>720</v>
      </c>
      <c r="B146" t="s">
        <v>721</v>
      </c>
      <c r="C146" t="s">
        <v>987</v>
      </c>
      <c r="D146" t="s">
        <v>254</v>
      </c>
      <c r="E146" t="s">
        <v>988</v>
      </c>
      <c r="F146">
        <v>492</v>
      </c>
    </row>
    <row r="147" spans="1:6" x14ac:dyDescent="0.25">
      <c r="A147" t="s">
        <v>717</v>
      </c>
      <c r="B147" t="s">
        <v>21</v>
      </c>
      <c r="C147" t="s">
        <v>576</v>
      </c>
      <c r="D147" t="s">
        <v>271</v>
      </c>
      <c r="E147" t="s">
        <v>989</v>
      </c>
      <c r="F147">
        <v>496</v>
      </c>
    </row>
    <row r="148" spans="1:6" x14ac:dyDescent="0.25">
      <c r="A148" t="s">
        <v>720</v>
      </c>
      <c r="B148" t="s">
        <v>721</v>
      </c>
      <c r="C148" t="s">
        <v>990</v>
      </c>
      <c r="D148" t="s">
        <v>256</v>
      </c>
      <c r="E148" t="s">
        <v>991</v>
      </c>
      <c r="F148">
        <v>498</v>
      </c>
    </row>
    <row r="149" spans="1:6" x14ac:dyDescent="0.25">
      <c r="A149" t="s">
        <v>720</v>
      </c>
      <c r="B149" t="s">
        <v>721</v>
      </c>
      <c r="C149" t="s">
        <v>992</v>
      </c>
      <c r="D149" t="s">
        <v>258</v>
      </c>
      <c r="E149" t="s">
        <v>993</v>
      </c>
      <c r="F149">
        <v>499</v>
      </c>
    </row>
    <row r="150" spans="1:6" x14ac:dyDescent="0.25">
      <c r="A150" t="s">
        <v>739</v>
      </c>
      <c r="B150" t="s">
        <v>293</v>
      </c>
      <c r="C150" t="s">
        <v>578</v>
      </c>
      <c r="D150" t="s">
        <v>277</v>
      </c>
      <c r="E150" t="s">
        <v>994</v>
      </c>
      <c r="F150">
        <v>500</v>
      </c>
    </row>
    <row r="151" spans="1:6" x14ac:dyDescent="0.25">
      <c r="A151" t="s">
        <v>729</v>
      </c>
      <c r="B151" t="s">
        <v>7</v>
      </c>
      <c r="C151" t="s">
        <v>995</v>
      </c>
      <c r="D151" t="s">
        <v>252</v>
      </c>
      <c r="E151" t="s">
        <v>996</v>
      </c>
      <c r="F151">
        <v>504</v>
      </c>
    </row>
    <row r="152" spans="1:6" x14ac:dyDescent="0.25">
      <c r="A152" t="s">
        <v>729</v>
      </c>
      <c r="B152" t="s">
        <v>7</v>
      </c>
      <c r="C152" t="s">
        <v>997</v>
      </c>
      <c r="D152" t="s">
        <v>291</v>
      </c>
      <c r="E152" t="s">
        <v>998</v>
      </c>
      <c r="F152">
        <v>508</v>
      </c>
    </row>
    <row r="153" spans="1:6" x14ac:dyDescent="0.25">
      <c r="A153" t="s">
        <v>717</v>
      </c>
      <c r="B153" t="s">
        <v>21</v>
      </c>
      <c r="C153" t="s">
        <v>999</v>
      </c>
      <c r="D153" t="s">
        <v>315</v>
      </c>
      <c r="E153" t="s">
        <v>1000</v>
      </c>
      <c r="F153">
        <v>512</v>
      </c>
    </row>
    <row r="154" spans="1:6" x14ac:dyDescent="0.25">
      <c r="A154" t="s">
        <v>729</v>
      </c>
      <c r="B154" t="s">
        <v>7</v>
      </c>
      <c r="C154" t="s">
        <v>1001</v>
      </c>
      <c r="D154" t="s">
        <v>293</v>
      </c>
      <c r="E154" t="s">
        <v>1002</v>
      </c>
      <c r="F154">
        <v>516</v>
      </c>
    </row>
    <row r="155" spans="1:6" x14ac:dyDescent="0.25">
      <c r="A155" t="s">
        <v>732</v>
      </c>
      <c r="B155" t="s">
        <v>733</v>
      </c>
      <c r="C155" t="s">
        <v>1003</v>
      </c>
      <c r="D155" t="s">
        <v>309</v>
      </c>
      <c r="E155" t="s">
        <v>1004</v>
      </c>
      <c r="F155">
        <v>520</v>
      </c>
    </row>
    <row r="156" spans="1:6" x14ac:dyDescent="0.25">
      <c r="A156" t="s">
        <v>717</v>
      </c>
      <c r="B156" t="s">
        <v>21</v>
      </c>
      <c r="C156" t="s">
        <v>1005</v>
      </c>
      <c r="D156" t="s">
        <v>307</v>
      </c>
      <c r="E156" t="s">
        <v>1006</v>
      </c>
      <c r="F156">
        <v>524</v>
      </c>
    </row>
    <row r="157" spans="1:6" x14ac:dyDescent="0.25">
      <c r="A157" t="s">
        <v>720</v>
      </c>
      <c r="B157" t="s">
        <v>721</v>
      </c>
      <c r="C157" t="s">
        <v>1007</v>
      </c>
      <c r="D157" t="s">
        <v>303</v>
      </c>
      <c r="E157" t="s">
        <v>1008</v>
      </c>
      <c r="F157">
        <v>528</v>
      </c>
    </row>
    <row r="158" spans="1:6" x14ac:dyDescent="0.25">
      <c r="A158" t="s">
        <v>739</v>
      </c>
      <c r="B158" t="s">
        <v>293</v>
      </c>
      <c r="C158" t="s">
        <v>1009</v>
      </c>
      <c r="D158" t="s">
        <v>725</v>
      </c>
      <c r="E158" t="s">
        <v>1010</v>
      </c>
      <c r="F158">
        <v>530</v>
      </c>
    </row>
    <row r="159" spans="1:6" x14ac:dyDescent="0.25">
      <c r="A159" t="s">
        <v>739</v>
      </c>
      <c r="B159" t="s">
        <v>293</v>
      </c>
      <c r="C159" t="s">
        <v>503</v>
      </c>
      <c r="D159" t="s">
        <v>97</v>
      </c>
      <c r="E159" t="s">
        <v>1011</v>
      </c>
      <c r="F159">
        <v>531</v>
      </c>
    </row>
    <row r="160" spans="1:6" x14ac:dyDescent="0.25">
      <c r="A160" t="s">
        <v>739</v>
      </c>
      <c r="B160" t="s">
        <v>293</v>
      </c>
      <c r="C160" t="s">
        <v>462</v>
      </c>
      <c r="D160" t="s">
        <v>27</v>
      </c>
      <c r="E160" t="s">
        <v>1012</v>
      </c>
      <c r="F160">
        <v>533</v>
      </c>
    </row>
    <row r="161" spans="1:6" x14ac:dyDescent="0.25">
      <c r="A161" t="s">
        <v>739</v>
      </c>
      <c r="B161" t="s">
        <v>293</v>
      </c>
      <c r="C161" t="s">
        <v>1013</v>
      </c>
      <c r="D161" t="s">
        <v>384</v>
      </c>
      <c r="E161" t="s">
        <v>1014</v>
      </c>
      <c r="F161">
        <v>534</v>
      </c>
    </row>
    <row r="162" spans="1:6" x14ac:dyDescent="0.25">
      <c r="A162" t="s">
        <v>739</v>
      </c>
      <c r="B162" t="s">
        <v>293</v>
      </c>
      <c r="C162" t="s">
        <v>1015</v>
      </c>
      <c r="D162" t="s">
        <v>1016</v>
      </c>
      <c r="E162" t="s">
        <v>1017</v>
      </c>
      <c r="F162">
        <v>535</v>
      </c>
    </row>
    <row r="163" spans="1:6" x14ac:dyDescent="0.25">
      <c r="A163" t="s">
        <v>732</v>
      </c>
      <c r="B163" t="s">
        <v>733</v>
      </c>
      <c r="C163" t="s">
        <v>587</v>
      </c>
      <c r="D163" t="s">
        <v>295</v>
      </c>
      <c r="E163" t="s">
        <v>1018</v>
      </c>
      <c r="F163">
        <v>540</v>
      </c>
    </row>
    <row r="164" spans="1:6" x14ac:dyDescent="0.25">
      <c r="A164" t="s">
        <v>732</v>
      </c>
      <c r="B164" t="s">
        <v>733</v>
      </c>
      <c r="C164" t="s">
        <v>1019</v>
      </c>
      <c r="D164" t="s">
        <v>437</v>
      </c>
      <c r="E164" t="s">
        <v>1020</v>
      </c>
      <c r="F164">
        <v>548</v>
      </c>
    </row>
    <row r="165" spans="1:6" x14ac:dyDescent="0.25">
      <c r="A165" t="s">
        <v>732</v>
      </c>
      <c r="B165" t="s">
        <v>733</v>
      </c>
      <c r="C165" t="s">
        <v>588</v>
      </c>
      <c r="D165" t="s">
        <v>313</v>
      </c>
      <c r="E165" t="s">
        <v>1021</v>
      </c>
      <c r="F165">
        <v>554</v>
      </c>
    </row>
    <row r="166" spans="1:6" x14ac:dyDescent="0.25">
      <c r="A166" t="s">
        <v>739</v>
      </c>
      <c r="B166" t="s">
        <v>293</v>
      </c>
      <c r="C166" t="s">
        <v>1022</v>
      </c>
      <c r="D166" t="s">
        <v>301</v>
      </c>
      <c r="E166" t="s">
        <v>1023</v>
      </c>
      <c r="F166">
        <v>558</v>
      </c>
    </row>
    <row r="167" spans="1:6" x14ac:dyDescent="0.25">
      <c r="A167" t="s">
        <v>729</v>
      </c>
      <c r="B167" t="s">
        <v>7</v>
      </c>
      <c r="C167" t="s">
        <v>1024</v>
      </c>
      <c r="D167" t="s">
        <v>297</v>
      </c>
      <c r="E167" t="s">
        <v>1025</v>
      </c>
      <c r="F167">
        <v>562</v>
      </c>
    </row>
    <row r="168" spans="1:6" x14ac:dyDescent="0.25">
      <c r="A168" t="s">
        <v>729</v>
      </c>
      <c r="B168" t="s">
        <v>7</v>
      </c>
      <c r="C168" t="s">
        <v>1026</v>
      </c>
      <c r="D168" t="s">
        <v>299</v>
      </c>
      <c r="E168" t="s">
        <v>1027</v>
      </c>
      <c r="F168">
        <v>566</v>
      </c>
    </row>
    <row r="169" spans="1:6" x14ac:dyDescent="0.25">
      <c r="A169" t="s">
        <v>732</v>
      </c>
      <c r="B169" t="s">
        <v>733</v>
      </c>
      <c r="C169" t="s">
        <v>592</v>
      </c>
      <c r="D169" t="s">
        <v>311</v>
      </c>
      <c r="E169" t="s">
        <v>1028</v>
      </c>
      <c r="F169">
        <v>570</v>
      </c>
    </row>
    <row r="170" spans="1:6" x14ac:dyDescent="0.25">
      <c r="A170" t="s">
        <v>732</v>
      </c>
      <c r="B170" t="s">
        <v>733</v>
      </c>
      <c r="C170" t="s">
        <v>593</v>
      </c>
      <c r="D170" t="s">
        <v>1029</v>
      </c>
      <c r="E170" t="s">
        <v>1030</v>
      </c>
      <c r="F170">
        <v>574</v>
      </c>
    </row>
    <row r="171" spans="1:6" x14ac:dyDescent="0.25">
      <c r="A171" t="s">
        <v>720</v>
      </c>
      <c r="B171" t="s">
        <v>721</v>
      </c>
      <c r="C171" t="s">
        <v>1031</v>
      </c>
      <c r="D171" t="s">
        <v>305</v>
      </c>
      <c r="E171" t="s">
        <v>1032</v>
      </c>
      <c r="F171">
        <v>578</v>
      </c>
    </row>
    <row r="172" spans="1:6" x14ac:dyDescent="0.25">
      <c r="A172" t="s">
        <v>732</v>
      </c>
      <c r="B172" t="s">
        <v>733</v>
      </c>
      <c r="C172" t="s">
        <v>1033</v>
      </c>
      <c r="D172" t="s">
        <v>273</v>
      </c>
      <c r="E172" t="s">
        <v>1034</v>
      </c>
      <c r="F172">
        <v>580</v>
      </c>
    </row>
    <row r="173" spans="1:6" x14ac:dyDescent="0.25">
      <c r="A173" t="s">
        <v>732</v>
      </c>
      <c r="B173" t="s">
        <v>733</v>
      </c>
      <c r="C173" t="s">
        <v>1035</v>
      </c>
      <c r="D173" t="s">
        <v>1036</v>
      </c>
      <c r="E173" t="s">
        <v>1037</v>
      </c>
      <c r="F173">
        <v>581</v>
      </c>
    </row>
    <row r="174" spans="1:6" x14ac:dyDescent="0.25">
      <c r="A174" t="s">
        <v>739</v>
      </c>
      <c r="B174" t="s">
        <v>293</v>
      </c>
      <c r="C174" t="s">
        <v>1035</v>
      </c>
      <c r="D174" t="s">
        <v>1036</v>
      </c>
      <c r="E174" t="s">
        <v>1037</v>
      </c>
      <c r="F174">
        <v>581</v>
      </c>
    </row>
    <row r="175" spans="1:6" x14ac:dyDescent="0.25">
      <c r="A175" t="s">
        <v>732</v>
      </c>
      <c r="B175" t="s">
        <v>733</v>
      </c>
      <c r="C175" t="s">
        <v>1038</v>
      </c>
      <c r="D175" t="s">
        <v>135</v>
      </c>
      <c r="E175" t="s">
        <v>1039</v>
      </c>
      <c r="F175">
        <v>583</v>
      </c>
    </row>
    <row r="176" spans="1:6" x14ac:dyDescent="0.25">
      <c r="A176" t="s">
        <v>732</v>
      </c>
      <c r="B176" t="s">
        <v>733</v>
      </c>
      <c r="C176" t="s">
        <v>1040</v>
      </c>
      <c r="D176" t="s">
        <v>264</v>
      </c>
      <c r="E176" t="s">
        <v>1041</v>
      </c>
      <c r="F176">
        <v>584</v>
      </c>
    </row>
    <row r="177" spans="1:6" x14ac:dyDescent="0.25">
      <c r="A177" t="s">
        <v>732</v>
      </c>
      <c r="B177" t="s">
        <v>733</v>
      </c>
      <c r="C177" t="s">
        <v>1042</v>
      </c>
      <c r="D177" t="s">
        <v>337</v>
      </c>
      <c r="E177" t="s">
        <v>1043</v>
      </c>
      <c r="F177">
        <v>585</v>
      </c>
    </row>
    <row r="178" spans="1:6" x14ac:dyDescent="0.25">
      <c r="A178" t="s">
        <v>717</v>
      </c>
      <c r="B178" t="s">
        <v>21</v>
      </c>
      <c r="C178" t="s">
        <v>1044</v>
      </c>
      <c r="D178" t="s">
        <v>327</v>
      </c>
      <c r="E178" t="s">
        <v>1045</v>
      </c>
      <c r="F178">
        <v>586</v>
      </c>
    </row>
    <row r="179" spans="1:6" x14ac:dyDescent="0.25">
      <c r="A179" t="s">
        <v>739</v>
      </c>
      <c r="B179" t="s">
        <v>293</v>
      </c>
      <c r="C179" t="s">
        <v>1046</v>
      </c>
      <c r="D179" t="s">
        <v>317</v>
      </c>
      <c r="E179" t="s">
        <v>1047</v>
      </c>
      <c r="F179">
        <v>591</v>
      </c>
    </row>
    <row r="180" spans="1:6" x14ac:dyDescent="0.25">
      <c r="A180" t="s">
        <v>732</v>
      </c>
      <c r="B180" t="s">
        <v>733</v>
      </c>
      <c r="C180" t="s">
        <v>1048</v>
      </c>
      <c r="D180" t="s">
        <v>323</v>
      </c>
      <c r="E180" t="s">
        <v>1049</v>
      </c>
      <c r="F180">
        <v>598</v>
      </c>
    </row>
    <row r="181" spans="1:6" x14ac:dyDescent="0.25">
      <c r="A181" t="s">
        <v>743</v>
      </c>
      <c r="B181" t="s">
        <v>350</v>
      </c>
      <c r="C181" t="s">
        <v>1050</v>
      </c>
      <c r="D181" t="s">
        <v>338</v>
      </c>
      <c r="E181" t="s">
        <v>1051</v>
      </c>
      <c r="F181">
        <v>600</v>
      </c>
    </row>
    <row r="182" spans="1:6" x14ac:dyDescent="0.25">
      <c r="A182" t="s">
        <v>743</v>
      </c>
      <c r="B182" t="s">
        <v>350</v>
      </c>
      <c r="C182" t="s">
        <v>1052</v>
      </c>
      <c r="D182" t="s">
        <v>319</v>
      </c>
      <c r="E182" t="s">
        <v>1053</v>
      </c>
      <c r="F182">
        <v>604</v>
      </c>
    </row>
    <row r="183" spans="1:6" x14ac:dyDescent="0.25">
      <c r="A183" t="s">
        <v>717</v>
      </c>
      <c r="B183" t="s">
        <v>21</v>
      </c>
      <c r="C183" t="s">
        <v>1054</v>
      </c>
      <c r="D183" t="s">
        <v>325</v>
      </c>
      <c r="E183" t="s">
        <v>1055</v>
      </c>
      <c r="F183">
        <v>608</v>
      </c>
    </row>
    <row r="184" spans="1:6" x14ac:dyDescent="0.25">
      <c r="A184" t="s">
        <v>732</v>
      </c>
      <c r="B184" t="s">
        <v>733</v>
      </c>
      <c r="C184" t="s">
        <v>606</v>
      </c>
      <c r="D184" t="s">
        <v>331</v>
      </c>
      <c r="E184" t="s">
        <v>1056</v>
      </c>
      <c r="F184">
        <v>612</v>
      </c>
    </row>
    <row r="185" spans="1:6" x14ac:dyDescent="0.25">
      <c r="A185" t="s">
        <v>720</v>
      </c>
      <c r="B185" t="s">
        <v>721</v>
      </c>
      <c r="C185" t="s">
        <v>1057</v>
      </c>
      <c r="D185" t="s">
        <v>329</v>
      </c>
      <c r="E185" t="s">
        <v>1058</v>
      </c>
      <c r="F185">
        <v>616</v>
      </c>
    </row>
    <row r="186" spans="1:6" x14ac:dyDescent="0.25">
      <c r="A186" t="s">
        <v>720</v>
      </c>
      <c r="B186" t="s">
        <v>721</v>
      </c>
      <c r="C186" t="s">
        <v>1059</v>
      </c>
      <c r="D186" t="s">
        <v>335</v>
      </c>
      <c r="E186" t="s">
        <v>1060</v>
      </c>
      <c r="F186">
        <v>620</v>
      </c>
    </row>
    <row r="187" spans="1:6" x14ac:dyDescent="0.25">
      <c r="A187" t="s">
        <v>729</v>
      </c>
      <c r="B187" t="s">
        <v>7</v>
      </c>
      <c r="C187" t="s">
        <v>1061</v>
      </c>
      <c r="D187" t="s">
        <v>173</v>
      </c>
      <c r="E187" t="s">
        <v>1062</v>
      </c>
      <c r="F187">
        <v>624</v>
      </c>
    </row>
    <row r="188" spans="1:6" x14ac:dyDescent="0.25">
      <c r="A188" t="s">
        <v>717</v>
      </c>
      <c r="B188" t="s">
        <v>21</v>
      </c>
      <c r="C188" t="s">
        <v>1063</v>
      </c>
      <c r="D188" t="s">
        <v>399</v>
      </c>
      <c r="E188" t="s">
        <v>1064</v>
      </c>
      <c r="F188">
        <v>626</v>
      </c>
    </row>
    <row r="189" spans="1:6" x14ac:dyDescent="0.25">
      <c r="A189" t="s">
        <v>739</v>
      </c>
      <c r="B189" t="s">
        <v>293</v>
      </c>
      <c r="C189" t="s">
        <v>1065</v>
      </c>
      <c r="D189" t="s">
        <v>333</v>
      </c>
      <c r="E189" t="s">
        <v>1066</v>
      </c>
      <c r="F189">
        <v>630</v>
      </c>
    </row>
    <row r="190" spans="1:6" x14ac:dyDescent="0.25">
      <c r="A190" t="s">
        <v>717</v>
      </c>
      <c r="B190" t="s">
        <v>21</v>
      </c>
      <c r="C190" t="s">
        <v>1067</v>
      </c>
      <c r="D190" t="s">
        <v>340</v>
      </c>
      <c r="E190" t="s">
        <v>1068</v>
      </c>
      <c r="F190">
        <v>634</v>
      </c>
    </row>
    <row r="191" spans="1:6" x14ac:dyDescent="0.25">
      <c r="A191" t="s">
        <v>729</v>
      </c>
      <c r="B191" t="s">
        <v>7</v>
      </c>
      <c r="C191" t="s">
        <v>1069</v>
      </c>
      <c r="D191" t="s">
        <v>1070</v>
      </c>
      <c r="E191" t="s">
        <v>1071</v>
      </c>
      <c r="F191">
        <v>638</v>
      </c>
    </row>
    <row r="192" spans="1:6" x14ac:dyDescent="0.25">
      <c r="A192" t="s">
        <v>720</v>
      </c>
      <c r="B192" t="s">
        <v>721</v>
      </c>
      <c r="C192" t="s">
        <v>611</v>
      </c>
      <c r="D192" t="s">
        <v>342</v>
      </c>
      <c r="E192" t="s">
        <v>1072</v>
      </c>
      <c r="F192">
        <v>642</v>
      </c>
    </row>
    <row r="193" spans="1:6" x14ac:dyDescent="0.25">
      <c r="A193" t="s">
        <v>720</v>
      </c>
      <c r="B193" t="s">
        <v>721</v>
      </c>
      <c r="C193" t="s">
        <v>1073</v>
      </c>
      <c r="D193" t="s">
        <v>346</v>
      </c>
      <c r="E193" t="s">
        <v>1074</v>
      </c>
      <c r="F193">
        <v>643</v>
      </c>
    </row>
    <row r="194" spans="1:6" x14ac:dyDescent="0.25">
      <c r="A194" t="s">
        <v>717</v>
      </c>
      <c r="B194" t="s">
        <v>21</v>
      </c>
      <c r="C194" t="s">
        <v>1073</v>
      </c>
      <c r="D194" t="s">
        <v>346</v>
      </c>
      <c r="E194" t="s">
        <v>1074</v>
      </c>
      <c r="F194">
        <v>643</v>
      </c>
    </row>
    <row r="195" spans="1:6" x14ac:dyDescent="0.25">
      <c r="A195" t="s">
        <v>729</v>
      </c>
      <c r="B195" t="s">
        <v>7</v>
      </c>
      <c r="C195" t="s">
        <v>1075</v>
      </c>
      <c r="D195" t="s">
        <v>348</v>
      </c>
      <c r="E195" t="s">
        <v>1076</v>
      </c>
      <c r="F195">
        <v>646</v>
      </c>
    </row>
    <row r="196" spans="1:6" x14ac:dyDescent="0.25">
      <c r="A196" t="s">
        <v>739</v>
      </c>
      <c r="B196" t="s">
        <v>293</v>
      </c>
      <c r="C196" t="s">
        <v>1077</v>
      </c>
      <c r="D196" t="s">
        <v>47</v>
      </c>
      <c r="E196" t="s">
        <v>1078</v>
      </c>
      <c r="F196">
        <v>652</v>
      </c>
    </row>
    <row r="197" spans="1:6" x14ac:dyDescent="0.25">
      <c r="A197" t="s">
        <v>729</v>
      </c>
      <c r="B197" t="s">
        <v>7</v>
      </c>
      <c r="C197" t="s">
        <v>614</v>
      </c>
      <c r="D197" t="s">
        <v>362</v>
      </c>
      <c r="E197" t="s">
        <v>1079</v>
      </c>
      <c r="F197">
        <v>654</v>
      </c>
    </row>
    <row r="198" spans="1:6" x14ac:dyDescent="0.25">
      <c r="A198" t="s">
        <v>739</v>
      </c>
      <c r="B198" t="s">
        <v>293</v>
      </c>
      <c r="C198" t="s">
        <v>1080</v>
      </c>
      <c r="D198" t="s">
        <v>219</v>
      </c>
      <c r="E198" t="s">
        <v>1081</v>
      </c>
      <c r="F198">
        <v>659</v>
      </c>
    </row>
    <row r="199" spans="1:6" x14ac:dyDescent="0.25">
      <c r="A199" t="s">
        <v>739</v>
      </c>
      <c r="B199" t="s">
        <v>293</v>
      </c>
      <c r="C199" t="s">
        <v>458</v>
      </c>
      <c r="D199" t="s">
        <v>11</v>
      </c>
      <c r="E199" t="s">
        <v>1082</v>
      </c>
      <c r="F199">
        <v>660</v>
      </c>
    </row>
    <row r="200" spans="1:6" x14ac:dyDescent="0.25">
      <c r="A200" t="s">
        <v>739</v>
      </c>
      <c r="B200" t="s">
        <v>293</v>
      </c>
      <c r="C200" t="s">
        <v>616</v>
      </c>
      <c r="D200" t="s">
        <v>235</v>
      </c>
      <c r="E200" t="s">
        <v>1083</v>
      </c>
      <c r="F200">
        <v>662</v>
      </c>
    </row>
    <row r="201" spans="1:6" x14ac:dyDescent="0.25">
      <c r="A201" t="s">
        <v>739</v>
      </c>
      <c r="B201" t="s">
        <v>293</v>
      </c>
      <c r="C201" t="s">
        <v>617</v>
      </c>
      <c r="D201" t="s">
        <v>260</v>
      </c>
      <c r="E201" t="s">
        <v>1084</v>
      </c>
      <c r="F201">
        <v>663</v>
      </c>
    </row>
    <row r="202" spans="1:6" x14ac:dyDescent="0.25">
      <c r="A202" t="s">
        <v>739</v>
      </c>
      <c r="B202" t="s">
        <v>293</v>
      </c>
      <c r="C202" t="s">
        <v>1085</v>
      </c>
      <c r="D202" t="s">
        <v>1086</v>
      </c>
      <c r="E202" t="s">
        <v>1087</v>
      </c>
      <c r="F202">
        <v>666</v>
      </c>
    </row>
    <row r="203" spans="1:6" x14ac:dyDescent="0.25">
      <c r="A203" t="s">
        <v>739</v>
      </c>
      <c r="B203" t="s">
        <v>293</v>
      </c>
      <c r="C203" t="s">
        <v>618</v>
      </c>
      <c r="D203" t="s">
        <v>428</v>
      </c>
      <c r="E203" t="s">
        <v>1088</v>
      </c>
      <c r="F203">
        <v>670</v>
      </c>
    </row>
    <row r="204" spans="1:6" x14ac:dyDescent="0.25">
      <c r="A204" t="s">
        <v>720</v>
      </c>
      <c r="B204" t="s">
        <v>721</v>
      </c>
      <c r="C204" t="s">
        <v>1089</v>
      </c>
      <c r="D204" t="s">
        <v>370</v>
      </c>
      <c r="E204" t="s">
        <v>1090</v>
      </c>
      <c r="F204">
        <v>674</v>
      </c>
    </row>
    <row r="205" spans="1:6" x14ac:dyDescent="0.25">
      <c r="A205" t="s">
        <v>729</v>
      </c>
      <c r="B205" t="s">
        <v>7</v>
      </c>
      <c r="C205" t="s">
        <v>1091</v>
      </c>
      <c r="D205" t="s">
        <v>380</v>
      </c>
      <c r="E205" t="s">
        <v>1092</v>
      </c>
      <c r="F205">
        <v>678</v>
      </c>
    </row>
    <row r="206" spans="1:6" x14ac:dyDescent="0.25">
      <c r="A206" t="s">
        <v>717</v>
      </c>
      <c r="B206" t="s">
        <v>21</v>
      </c>
      <c r="C206" t="s">
        <v>1093</v>
      </c>
      <c r="D206" t="s">
        <v>350</v>
      </c>
      <c r="E206" t="s">
        <v>1094</v>
      </c>
      <c r="F206">
        <v>682</v>
      </c>
    </row>
    <row r="207" spans="1:6" x14ac:dyDescent="0.25">
      <c r="A207" t="s">
        <v>729</v>
      </c>
      <c r="B207" t="s">
        <v>7</v>
      </c>
      <c r="C207" t="s">
        <v>1095</v>
      </c>
      <c r="D207" t="s">
        <v>372</v>
      </c>
      <c r="E207" t="s">
        <v>1096</v>
      </c>
      <c r="F207">
        <v>686</v>
      </c>
    </row>
    <row r="208" spans="1:6" x14ac:dyDescent="0.25">
      <c r="A208" t="s">
        <v>720</v>
      </c>
      <c r="B208" t="s">
        <v>721</v>
      </c>
      <c r="C208" t="s">
        <v>1097</v>
      </c>
      <c r="D208" t="s">
        <v>344</v>
      </c>
      <c r="E208" t="s">
        <v>1098</v>
      </c>
      <c r="F208">
        <v>688</v>
      </c>
    </row>
    <row r="209" spans="1:6" x14ac:dyDescent="0.25">
      <c r="A209" t="s">
        <v>729</v>
      </c>
      <c r="B209" t="s">
        <v>7</v>
      </c>
      <c r="C209" t="s">
        <v>1099</v>
      </c>
      <c r="D209" t="s">
        <v>354</v>
      </c>
      <c r="E209" t="s">
        <v>1100</v>
      </c>
      <c r="F209">
        <v>690</v>
      </c>
    </row>
    <row r="210" spans="1:6" x14ac:dyDescent="0.25">
      <c r="A210" t="s">
        <v>729</v>
      </c>
      <c r="B210" t="s">
        <v>7</v>
      </c>
      <c r="C210" t="s">
        <v>1101</v>
      </c>
      <c r="D210" t="s">
        <v>368</v>
      </c>
      <c r="E210" t="s">
        <v>1102</v>
      </c>
      <c r="F210">
        <v>694</v>
      </c>
    </row>
    <row r="211" spans="1:6" x14ac:dyDescent="0.25">
      <c r="A211" t="s">
        <v>717</v>
      </c>
      <c r="B211" t="s">
        <v>21</v>
      </c>
      <c r="C211" t="s">
        <v>1103</v>
      </c>
      <c r="D211" t="s">
        <v>360</v>
      </c>
      <c r="E211" t="s">
        <v>1104</v>
      </c>
      <c r="F211">
        <v>702</v>
      </c>
    </row>
    <row r="212" spans="1:6" x14ac:dyDescent="0.25">
      <c r="A212" t="s">
        <v>720</v>
      </c>
      <c r="B212" t="s">
        <v>721</v>
      </c>
      <c r="C212" t="s">
        <v>1105</v>
      </c>
      <c r="D212" t="s">
        <v>366</v>
      </c>
      <c r="E212" t="s">
        <v>1106</v>
      </c>
      <c r="F212">
        <v>703</v>
      </c>
    </row>
    <row r="213" spans="1:6" x14ac:dyDescent="0.25">
      <c r="A213" t="s">
        <v>717</v>
      </c>
      <c r="B213" t="s">
        <v>21</v>
      </c>
      <c r="C213" t="s">
        <v>1107</v>
      </c>
      <c r="D213" t="s">
        <v>436</v>
      </c>
      <c r="E213" t="s">
        <v>1108</v>
      </c>
      <c r="F213">
        <v>704</v>
      </c>
    </row>
    <row r="214" spans="1:6" x14ac:dyDescent="0.25">
      <c r="A214" t="s">
        <v>720</v>
      </c>
      <c r="B214" t="s">
        <v>721</v>
      </c>
      <c r="C214" t="s">
        <v>1109</v>
      </c>
      <c r="D214" t="s">
        <v>364</v>
      </c>
      <c r="E214" t="s">
        <v>1110</v>
      </c>
      <c r="F214">
        <v>705</v>
      </c>
    </row>
    <row r="215" spans="1:6" x14ac:dyDescent="0.25">
      <c r="A215" t="s">
        <v>729</v>
      </c>
      <c r="B215" t="s">
        <v>7</v>
      </c>
      <c r="C215" t="s">
        <v>1111</v>
      </c>
      <c r="D215" t="s">
        <v>374</v>
      </c>
      <c r="E215" t="s">
        <v>1112</v>
      </c>
      <c r="F215">
        <v>706</v>
      </c>
    </row>
    <row r="216" spans="1:6" x14ac:dyDescent="0.25">
      <c r="A216" t="s">
        <v>729</v>
      </c>
      <c r="B216" t="s">
        <v>7</v>
      </c>
      <c r="C216" t="s">
        <v>1113</v>
      </c>
      <c r="D216" t="s">
        <v>442</v>
      </c>
      <c r="E216" t="s">
        <v>1114</v>
      </c>
      <c r="F216">
        <v>710</v>
      </c>
    </row>
    <row r="217" spans="1:6" x14ac:dyDescent="0.25">
      <c r="A217" t="s">
        <v>729</v>
      </c>
      <c r="B217" t="s">
        <v>7</v>
      </c>
      <c r="C217" t="s">
        <v>1115</v>
      </c>
      <c r="D217" t="s">
        <v>445</v>
      </c>
      <c r="E217" t="s">
        <v>1116</v>
      </c>
      <c r="F217">
        <v>716</v>
      </c>
    </row>
    <row r="218" spans="1:6" x14ac:dyDescent="0.25">
      <c r="A218" t="s">
        <v>720</v>
      </c>
      <c r="B218" t="s">
        <v>721</v>
      </c>
      <c r="C218" t="s">
        <v>1117</v>
      </c>
      <c r="D218" t="s">
        <v>125</v>
      </c>
      <c r="E218" t="s">
        <v>1118</v>
      </c>
      <c r="F218">
        <v>724</v>
      </c>
    </row>
    <row r="219" spans="1:6" x14ac:dyDescent="0.25">
      <c r="A219" t="s">
        <v>729</v>
      </c>
      <c r="B219" t="s">
        <v>7</v>
      </c>
      <c r="C219" t="s">
        <v>634</v>
      </c>
      <c r="D219" t="s">
        <v>378</v>
      </c>
      <c r="E219" t="s">
        <v>1119</v>
      </c>
      <c r="F219">
        <v>728</v>
      </c>
    </row>
    <row r="220" spans="1:6" x14ac:dyDescent="0.25">
      <c r="A220" t="s">
        <v>729</v>
      </c>
      <c r="B220" t="s">
        <v>7</v>
      </c>
      <c r="C220" t="s">
        <v>1120</v>
      </c>
      <c r="D220" t="s">
        <v>1121</v>
      </c>
      <c r="E220" t="s">
        <v>1122</v>
      </c>
      <c r="F220">
        <v>732</v>
      </c>
    </row>
    <row r="221" spans="1:6" x14ac:dyDescent="0.25">
      <c r="A221" t="s">
        <v>729</v>
      </c>
      <c r="B221" t="s">
        <v>7</v>
      </c>
      <c r="C221" t="s">
        <v>1123</v>
      </c>
      <c r="D221" t="s">
        <v>356</v>
      </c>
      <c r="E221" t="s">
        <v>1124</v>
      </c>
      <c r="F221">
        <v>736</v>
      </c>
    </row>
    <row r="222" spans="1:6" x14ac:dyDescent="0.25">
      <c r="A222" t="s">
        <v>743</v>
      </c>
      <c r="B222" t="s">
        <v>350</v>
      </c>
      <c r="C222" t="s">
        <v>1125</v>
      </c>
      <c r="D222" t="s">
        <v>376</v>
      </c>
      <c r="E222" t="s">
        <v>1126</v>
      </c>
      <c r="F222">
        <v>740</v>
      </c>
    </row>
    <row r="223" spans="1:6" x14ac:dyDescent="0.25">
      <c r="A223" t="s">
        <v>720</v>
      </c>
      <c r="B223" t="s">
        <v>721</v>
      </c>
      <c r="C223" t="s">
        <v>1127</v>
      </c>
      <c r="D223" t="s">
        <v>1128</v>
      </c>
      <c r="E223" t="s">
        <v>1129</v>
      </c>
      <c r="F223">
        <v>744</v>
      </c>
    </row>
    <row r="224" spans="1:6" x14ac:dyDescent="0.25">
      <c r="A224" t="s">
        <v>729</v>
      </c>
      <c r="B224" t="s">
        <v>7</v>
      </c>
      <c r="C224" t="s">
        <v>1130</v>
      </c>
      <c r="D224" t="s">
        <v>388</v>
      </c>
      <c r="E224" t="s">
        <v>1131</v>
      </c>
      <c r="F224">
        <v>748</v>
      </c>
    </row>
    <row r="225" spans="1:6" x14ac:dyDescent="0.25">
      <c r="A225" t="s">
        <v>720</v>
      </c>
      <c r="B225" t="s">
        <v>721</v>
      </c>
      <c r="C225" t="s">
        <v>1132</v>
      </c>
      <c r="D225" t="s">
        <v>358</v>
      </c>
      <c r="E225" t="s">
        <v>1133</v>
      </c>
      <c r="F225">
        <v>752</v>
      </c>
    </row>
    <row r="226" spans="1:6" x14ac:dyDescent="0.25">
      <c r="A226" t="s">
        <v>720</v>
      </c>
      <c r="B226" t="s">
        <v>721</v>
      </c>
      <c r="C226" t="s">
        <v>1134</v>
      </c>
      <c r="D226" t="s">
        <v>77</v>
      </c>
      <c r="E226" t="s">
        <v>1135</v>
      </c>
      <c r="F226">
        <v>756</v>
      </c>
    </row>
    <row r="227" spans="1:6" x14ac:dyDescent="0.25">
      <c r="A227" t="s">
        <v>717</v>
      </c>
      <c r="B227" t="s">
        <v>21</v>
      </c>
      <c r="C227" t="s">
        <v>1136</v>
      </c>
      <c r="D227" t="s">
        <v>386</v>
      </c>
      <c r="E227" t="s">
        <v>1137</v>
      </c>
      <c r="F227">
        <v>760</v>
      </c>
    </row>
    <row r="228" spans="1:6" x14ac:dyDescent="0.25">
      <c r="A228" t="s">
        <v>717</v>
      </c>
      <c r="B228" t="s">
        <v>21</v>
      </c>
      <c r="C228" t="s">
        <v>1138</v>
      </c>
      <c r="D228" t="s">
        <v>397</v>
      </c>
      <c r="E228" t="s">
        <v>1139</v>
      </c>
      <c r="F228">
        <v>762</v>
      </c>
    </row>
    <row r="229" spans="1:6" x14ac:dyDescent="0.25">
      <c r="A229" t="s">
        <v>717</v>
      </c>
      <c r="B229" t="s">
        <v>21</v>
      </c>
      <c r="C229" t="s">
        <v>1140</v>
      </c>
      <c r="D229" t="s">
        <v>395</v>
      </c>
      <c r="E229" t="s">
        <v>1141</v>
      </c>
      <c r="F229">
        <v>764</v>
      </c>
    </row>
    <row r="230" spans="1:6" x14ac:dyDescent="0.25">
      <c r="A230" t="s">
        <v>729</v>
      </c>
      <c r="B230" t="s">
        <v>7</v>
      </c>
      <c r="C230" t="s">
        <v>1142</v>
      </c>
      <c r="D230" t="s">
        <v>393</v>
      </c>
      <c r="E230" t="s">
        <v>1143</v>
      </c>
      <c r="F230">
        <v>768</v>
      </c>
    </row>
    <row r="231" spans="1:6" x14ac:dyDescent="0.25">
      <c r="A231" t="s">
        <v>732</v>
      </c>
      <c r="B231" t="s">
        <v>733</v>
      </c>
      <c r="C231" t="s">
        <v>1144</v>
      </c>
      <c r="D231" t="s">
        <v>1145</v>
      </c>
      <c r="E231" t="s">
        <v>1146</v>
      </c>
      <c r="F231">
        <v>772</v>
      </c>
    </row>
    <row r="232" spans="1:6" x14ac:dyDescent="0.25">
      <c r="A232" t="s">
        <v>732</v>
      </c>
      <c r="B232" t="s">
        <v>733</v>
      </c>
      <c r="C232" t="s">
        <v>1147</v>
      </c>
      <c r="D232" t="s">
        <v>405</v>
      </c>
      <c r="E232" t="s">
        <v>1148</v>
      </c>
      <c r="F232">
        <v>776</v>
      </c>
    </row>
    <row r="233" spans="1:6" x14ac:dyDescent="0.25">
      <c r="A233" t="s">
        <v>739</v>
      </c>
      <c r="B233" t="s">
        <v>293</v>
      </c>
      <c r="C233" t="s">
        <v>1149</v>
      </c>
      <c r="D233" t="s">
        <v>409</v>
      </c>
      <c r="E233" t="s">
        <v>1150</v>
      </c>
      <c r="F233">
        <v>780</v>
      </c>
    </row>
    <row r="234" spans="1:6" x14ac:dyDescent="0.25">
      <c r="A234" t="s">
        <v>717</v>
      </c>
      <c r="B234" t="s">
        <v>21</v>
      </c>
      <c r="C234" t="s">
        <v>656</v>
      </c>
      <c r="D234" t="s">
        <v>5</v>
      </c>
      <c r="E234" t="s">
        <v>1151</v>
      </c>
      <c r="F234">
        <v>784</v>
      </c>
    </row>
    <row r="235" spans="1:6" x14ac:dyDescent="0.25">
      <c r="A235" t="s">
        <v>729</v>
      </c>
      <c r="B235" t="s">
        <v>7</v>
      </c>
      <c r="C235" t="s">
        <v>1152</v>
      </c>
      <c r="D235" t="s">
        <v>403</v>
      </c>
      <c r="E235" t="s">
        <v>1153</v>
      </c>
      <c r="F235">
        <v>788</v>
      </c>
    </row>
    <row r="236" spans="1:6" x14ac:dyDescent="0.25">
      <c r="A236" t="s">
        <v>720</v>
      </c>
      <c r="B236" t="s">
        <v>721</v>
      </c>
      <c r="C236" t="s">
        <v>1154</v>
      </c>
      <c r="D236" t="s">
        <v>407</v>
      </c>
      <c r="E236" t="s">
        <v>1155</v>
      </c>
      <c r="F236">
        <v>792</v>
      </c>
    </row>
    <row r="237" spans="1:6" x14ac:dyDescent="0.25">
      <c r="A237" t="s">
        <v>717</v>
      </c>
      <c r="B237" t="s">
        <v>21</v>
      </c>
      <c r="C237" t="s">
        <v>1154</v>
      </c>
      <c r="D237" t="s">
        <v>407</v>
      </c>
      <c r="E237" t="s">
        <v>1155</v>
      </c>
      <c r="F237">
        <v>792</v>
      </c>
    </row>
    <row r="238" spans="1:6" x14ac:dyDescent="0.25">
      <c r="A238" t="s">
        <v>717</v>
      </c>
      <c r="B238" t="s">
        <v>21</v>
      </c>
      <c r="C238" t="s">
        <v>651</v>
      </c>
      <c r="D238" t="s">
        <v>401</v>
      </c>
      <c r="E238" t="s">
        <v>1156</v>
      </c>
      <c r="F238">
        <v>795</v>
      </c>
    </row>
    <row r="239" spans="1:6" x14ac:dyDescent="0.25">
      <c r="A239" t="s">
        <v>739</v>
      </c>
      <c r="B239" t="s">
        <v>293</v>
      </c>
      <c r="C239" t="s">
        <v>652</v>
      </c>
      <c r="D239" t="s">
        <v>390</v>
      </c>
      <c r="E239" t="s">
        <v>1157</v>
      </c>
      <c r="F239">
        <v>796</v>
      </c>
    </row>
    <row r="240" spans="1:6" x14ac:dyDescent="0.25">
      <c r="A240" t="s">
        <v>732</v>
      </c>
      <c r="B240" t="s">
        <v>733</v>
      </c>
      <c r="C240" t="s">
        <v>653</v>
      </c>
      <c r="D240" t="s">
        <v>411</v>
      </c>
      <c r="E240" t="s">
        <v>1158</v>
      </c>
      <c r="F240">
        <v>798</v>
      </c>
    </row>
    <row r="241" spans="1:6" x14ac:dyDescent="0.25">
      <c r="A241" t="s">
        <v>729</v>
      </c>
      <c r="B241" t="s">
        <v>7</v>
      </c>
      <c r="C241" t="s">
        <v>1159</v>
      </c>
      <c r="D241" t="s">
        <v>419</v>
      </c>
      <c r="E241" t="s">
        <v>1160</v>
      </c>
      <c r="F241">
        <v>800</v>
      </c>
    </row>
    <row r="242" spans="1:6" x14ac:dyDescent="0.25">
      <c r="A242" t="s">
        <v>720</v>
      </c>
      <c r="B242" t="s">
        <v>721</v>
      </c>
      <c r="C242" t="s">
        <v>655</v>
      </c>
      <c r="D242" t="s">
        <v>417</v>
      </c>
      <c r="E242" t="s">
        <v>1161</v>
      </c>
      <c r="F242">
        <v>804</v>
      </c>
    </row>
    <row r="243" spans="1:6" x14ac:dyDescent="0.25">
      <c r="A243" t="s">
        <v>720</v>
      </c>
      <c r="B243" t="s">
        <v>721</v>
      </c>
      <c r="C243" t="s">
        <v>1162</v>
      </c>
      <c r="D243" t="s">
        <v>266</v>
      </c>
      <c r="E243" t="s">
        <v>1163</v>
      </c>
      <c r="F243">
        <v>807</v>
      </c>
    </row>
    <row r="244" spans="1:6" x14ac:dyDescent="0.25">
      <c r="A244" t="s">
        <v>729</v>
      </c>
      <c r="B244" t="s">
        <v>7</v>
      </c>
      <c r="C244" t="s">
        <v>1164</v>
      </c>
      <c r="D244" t="s">
        <v>121</v>
      </c>
      <c r="E244" t="s">
        <v>1165</v>
      </c>
      <c r="F244">
        <v>818</v>
      </c>
    </row>
    <row r="245" spans="1:6" x14ac:dyDescent="0.25">
      <c r="A245" t="s">
        <v>720</v>
      </c>
      <c r="B245" t="s">
        <v>721</v>
      </c>
      <c r="C245" t="s">
        <v>1166</v>
      </c>
      <c r="D245" t="s">
        <v>143</v>
      </c>
      <c r="E245" t="s">
        <v>1167</v>
      </c>
      <c r="F245">
        <v>826</v>
      </c>
    </row>
    <row r="246" spans="1:6" x14ac:dyDescent="0.25">
      <c r="A246" t="s">
        <v>720</v>
      </c>
      <c r="B246" t="s">
        <v>721</v>
      </c>
      <c r="C246" t="s">
        <v>1168</v>
      </c>
      <c r="D246" t="s">
        <v>151</v>
      </c>
      <c r="E246" t="s">
        <v>1169</v>
      </c>
      <c r="F246">
        <v>831</v>
      </c>
    </row>
    <row r="247" spans="1:6" x14ac:dyDescent="0.25">
      <c r="A247" t="s">
        <v>720</v>
      </c>
      <c r="B247" t="s">
        <v>721</v>
      </c>
      <c r="C247" t="s">
        <v>1170</v>
      </c>
      <c r="D247" t="s">
        <v>201</v>
      </c>
      <c r="E247" t="s">
        <v>1171</v>
      </c>
      <c r="F247">
        <v>832</v>
      </c>
    </row>
    <row r="248" spans="1:6" x14ac:dyDescent="0.25">
      <c r="A248" t="s">
        <v>720</v>
      </c>
      <c r="B248" t="s">
        <v>721</v>
      </c>
      <c r="C248" t="s">
        <v>545</v>
      </c>
      <c r="D248" t="s">
        <v>190</v>
      </c>
      <c r="E248" t="s">
        <v>1172</v>
      </c>
      <c r="F248">
        <v>833</v>
      </c>
    </row>
    <row r="249" spans="1:6" x14ac:dyDescent="0.25">
      <c r="A249" t="s">
        <v>729</v>
      </c>
      <c r="B249" t="s">
        <v>7</v>
      </c>
      <c r="C249" t="s">
        <v>1173</v>
      </c>
      <c r="D249" t="s">
        <v>415</v>
      </c>
      <c r="E249" t="s">
        <v>1174</v>
      </c>
      <c r="F249">
        <v>834</v>
      </c>
    </row>
    <row r="250" spans="1:6" x14ac:dyDescent="0.25">
      <c r="A250" t="s">
        <v>739</v>
      </c>
      <c r="B250" t="s">
        <v>293</v>
      </c>
      <c r="C250" t="s">
        <v>1175</v>
      </c>
      <c r="D250" t="s">
        <v>421</v>
      </c>
      <c r="E250" t="s">
        <v>1176</v>
      </c>
      <c r="F250">
        <v>840</v>
      </c>
    </row>
    <row r="251" spans="1:6" x14ac:dyDescent="0.25">
      <c r="A251" t="s">
        <v>739</v>
      </c>
      <c r="B251" t="s">
        <v>293</v>
      </c>
      <c r="C251" t="s">
        <v>658</v>
      </c>
      <c r="D251" t="s">
        <v>434</v>
      </c>
      <c r="E251" t="s">
        <v>1177</v>
      </c>
      <c r="F251">
        <v>850</v>
      </c>
    </row>
    <row r="252" spans="1:6" x14ac:dyDescent="0.25">
      <c r="A252" t="s">
        <v>729</v>
      </c>
      <c r="B252" t="s">
        <v>7</v>
      </c>
      <c r="C252" t="s">
        <v>483</v>
      </c>
      <c r="D252" t="s">
        <v>39</v>
      </c>
      <c r="E252" t="s">
        <v>1178</v>
      </c>
      <c r="F252">
        <v>854</v>
      </c>
    </row>
    <row r="253" spans="1:6" x14ac:dyDescent="0.25">
      <c r="A253" t="s">
        <v>743</v>
      </c>
      <c r="B253" t="s">
        <v>350</v>
      </c>
      <c r="C253" t="s">
        <v>1179</v>
      </c>
      <c r="D253" t="s">
        <v>422</v>
      </c>
      <c r="E253" t="s">
        <v>1180</v>
      </c>
      <c r="F253">
        <v>858</v>
      </c>
    </row>
    <row r="254" spans="1:6" x14ac:dyDescent="0.25">
      <c r="A254" t="s">
        <v>717</v>
      </c>
      <c r="B254" t="s">
        <v>21</v>
      </c>
      <c r="C254" t="s">
        <v>1181</v>
      </c>
      <c r="D254" t="s">
        <v>424</v>
      </c>
      <c r="E254" t="s">
        <v>1182</v>
      </c>
      <c r="F254">
        <v>860</v>
      </c>
    </row>
    <row r="255" spans="1:6" x14ac:dyDescent="0.25">
      <c r="A255" t="s">
        <v>743</v>
      </c>
      <c r="B255" t="s">
        <v>350</v>
      </c>
      <c r="C255" t="s">
        <v>1183</v>
      </c>
      <c r="D255" t="s">
        <v>430</v>
      </c>
      <c r="E255" t="s">
        <v>1184</v>
      </c>
      <c r="F255">
        <v>862</v>
      </c>
    </row>
    <row r="256" spans="1:6" x14ac:dyDescent="0.25">
      <c r="A256" t="s">
        <v>732</v>
      </c>
      <c r="B256" t="s">
        <v>733</v>
      </c>
      <c r="C256" t="s">
        <v>1185</v>
      </c>
      <c r="D256" t="s">
        <v>1186</v>
      </c>
      <c r="E256" t="s">
        <v>1187</v>
      </c>
      <c r="F256">
        <v>876</v>
      </c>
    </row>
    <row r="257" spans="1:6" x14ac:dyDescent="0.25">
      <c r="A257" t="s">
        <v>732</v>
      </c>
      <c r="B257" t="s">
        <v>733</v>
      </c>
      <c r="C257" t="s">
        <v>1188</v>
      </c>
      <c r="D257" t="s">
        <v>438</v>
      </c>
      <c r="E257" t="s">
        <v>1189</v>
      </c>
      <c r="F257">
        <v>882</v>
      </c>
    </row>
    <row r="258" spans="1:6" x14ac:dyDescent="0.25">
      <c r="A258" t="s">
        <v>717</v>
      </c>
      <c r="B258" t="s">
        <v>21</v>
      </c>
      <c r="C258" t="s">
        <v>665</v>
      </c>
      <c r="D258" t="s">
        <v>440</v>
      </c>
      <c r="E258" t="s">
        <v>1190</v>
      </c>
      <c r="F258">
        <v>887</v>
      </c>
    </row>
    <row r="259" spans="1:6" x14ac:dyDescent="0.25">
      <c r="A259" t="s">
        <v>729</v>
      </c>
      <c r="B259" t="s">
        <v>7</v>
      </c>
      <c r="C259" t="s">
        <v>1191</v>
      </c>
      <c r="D259" t="s">
        <v>443</v>
      </c>
      <c r="E259" t="s">
        <v>1192</v>
      </c>
      <c r="F259">
        <v>894</v>
      </c>
    </row>
    <row r="260" spans="1:6" x14ac:dyDescent="0.25">
      <c r="A260" t="s">
        <v>732</v>
      </c>
      <c r="B260" t="s">
        <v>733</v>
      </c>
      <c r="C260" t="s">
        <v>1193</v>
      </c>
      <c r="D260" t="s">
        <v>1194</v>
      </c>
    </row>
    <row r="261" spans="1:6" x14ac:dyDescent="0.25">
      <c r="A261" t="s">
        <v>717</v>
      </c>
      <c r="B261" t="s">
        <v>21</v>
      </c>
      <c r="C261" t="s">
        <v>1195</v>
      </c>
      <c r="D261" t="s">
        <v>1196</v>
      </c>
    </row>
    <row r="262" spans="1:6" x14ac:dyDescent="0.25">
      <c r="A262" t="s">
        <v>717</v>
      </c>
      <c r="B262" t="s">
        <v>21</v>
      </c>
      <c r="C262" t="s">
        <v>1197</v>
      </c>
      <c r="D262" t="s">
        <v>1198</v>
      </c>
    </row>
    <row r="263" spans="1:6" x14ac:dyDescent="0.25">
      <c r="A263" t="s">
        <v>717</v>
      </c>
      <c r="B263" t="s">
        <v>21</v>
      </c>
      <c r="C263" t="s">
        <v>1199</v>
      </c>
      <c r="D263" t="s">
        <v>1200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6FD7-C9B4-4B2A-805F-C4BC5FA5E4EE}">
  <dimension ref="A1:A8"/>
  <sheetViews>
    <sheetView workbookViewId="0">
      <selection activeCell="A2" sqref="A2:A8"/>
    </sheetView>
  </sheetViews>
  <sheetFormatPr defaultRowHeight="15" x14ac:dyDescent="0.25"/>
  <cols>
    <col min="1" max="1" width="15.7109375" bestFit="1" customWidth="1"/>
  </cols>
  <sheetData>
    <row r="1" spans="1:1" x14ac:dyDescent="0.25">
      <c r="A1" t="s">
        <v>711</v>
      </c>
    </row>
    <row r="2" spans="1:1" x14ac:dyDescent="0.25">
      <c r="A2" t="s">
        <v>717</v>
      </c>
    </row>
    <row r="3" spans="1:1" x14ac:dyDescent="0.25">
      <c r="A3" t="s">
        <v>720</v>
      </c>
    </row>
    <row r="4" spans="1:1" x14ac:dyDescent="0.25">
      <c r="A4" t="s">
        <v>724</v>
      </c>
    </row>
    <row r="5" spans="1:1" x14ac:dyDescent="0.25">
      <c r="A5" t="s">
        <v>729</v>
      </c>
    </row>
    <row r="6" spans="1:1" x14ac:dyDescent="0.25">
      <c r="A6" t="s">
        <v>732</v>
      </c>
    </row>
    <row r="7" spans="1:1" x14ac:dyDescent="0.25">
      <c r="A7" t="s">
        <v>739</v>
      </c>
    </row>
    <row r="8" spans="1:1" x14ac:dyDescent="0.25">
      <c r="A8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country_en</vt:lpstr>
      <vt:lpstr>country_ru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Black</cp:lastModifiedBy>
  <dcterms:created xsi:type="dcterms:W3CDTF">2026-04-28T12:40:06Z</dcterms:created>
  <dcterms:modified xsi:type="dcterms:W3CDTF">2026-08-07T15:29:31Z</dcterms:modified>
</cp:coreProperties>
</file>